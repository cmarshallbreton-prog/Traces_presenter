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cap" sheetId="1" r:id="rId5"/>
    <sheet state="visible" name="ACP_Norm_Red" sheetId="2" r:id="rId6"/>
    <sheet state="visible" name="ACP_Mat_Correl" sheetId="3" r:id="rId7"/>
    <sheet state="visible" name="Params" sheetId="4" r:id="rId8"/>
    <sheet state="visible" name="DriveImages" sheetId="5" r:id="rId9"/>
    <sheet state="visible" name="Notes" sheetId="6" r:id="rId10"/>
    <sheet state="visible" name="EQ" sheetId="7" r:id="rId11"/>
    <sheet state="visible" name="RED" sheetId="8" r:id="rId12"/>
    <sheet state="visible" name="Comp_Count" sheetId="9" r:id="rId13"/>
    <sheet state="visible" name="Sess_Count" sheetId="10" r:id="rId14"/>
    <sheet state="visible" name="Comp_FP_Ratio" sheetId="11" r:id="rId15"/>
    <sheet state="visible" name="Frac_Long" sheetId="12" r:id="rId16"/>
    <sheet state="visible" name="Mean_Test" sheetId="13" r:id="rId17"/>
  </sheets>
  <definedNames>
    <definedName hidden="1" localSheetId="0" name="_xlnm._FilterDatabase">'Récap'!$A$1:$K$111</definedName>
  </definedNames>
  <calcPr/>
</workbook>
</file>

<file path=xl/sharedStrings.xml><?xml version="1.0" encoding="utf-8"?>
<sst xmlns="http://schemas.openxmlformats.org/spreadsheetml/2006/main" count="1953" uniqueCount="946">
  <si>
    <t>SubjectID</t>
  </si>
  <si>
    <t>Notes</t>
  </si>
  <si>
    <t>Profil</t>
  </si>
  <si>
    <t>Catégorie</t>
  </si>
  <si>
    <t>EQ</t>
  </si>
  <si>
    <t>RED</t>
  </si>
  <si>
    <t>Comp_Count</t>
  </si>
  <si>
    <t>Sess_Count</t>
  </si>
  <si>
    <t>Comp_FP_Ratio</t>
  </si>
  <si>
    <t>Frac_Long</t>
  </si>
  <si>
    <t>Mean_Test</t>
  </si>
  <si>
    <t>Q1</t>
  </si>
  <si>
    <t>Q2</t>
  </si>
  <si>
    <t>Q3</t>
  </si>
  <si>
    <t>Q4</t>
  </si>
  <si>
    <t>Règle</t>
  </si>
  <si>
    <t>Description</t>
  </si>
  <si>
    <t>Count</t>
  </si>
  <si>
    <t>Peu actif</t>
  </si>
  <si>
    <t>Comp_Count ≤ Q1 ET Sess_Count ≤ Q1</t>
  </si>
  <si>
    <t>Peu de compilations et peu de sessions (activité faible)</t>
  </si>
  <si>
    <t>Efficace</t>
  </si>
  <si>
    <t>Comp_FP_Ratio ≥ Q3 ET EQ ≤ Q1 ET RED ≤ Q1</t>
  </si>
  <si>
    <t>Bon taux de réussite, peu d’erreurs et peu de répétitions.</t>
  </si>
  <si>
    <t>Bloqué</t>
  </si>
  <si>
    <t>RED ≥ Q3 ET (Comp_FP_Ratio ≤ Q2 OU EQ ≥ Q3)</t>
  </si>
  <si>
    <t>Beaucoup d’erreurs répétées, réussite faible/moyenne.</t>
  </si>
  <si>
    <t>Persévérant</t>
  </si>
  <si>
    <t>(Comp_Count ≥ Q3 OU Sess_Count ≥ Q3) ET Comp_FP_Ratio ≤ Q2</t>
  </si>
  <si>
    <t>Beaucoup d’essais/sessions, mais réussite faible/moyenne.</t>
  </si>
  <si>
    <t>Sporadique</t>
  </si>
  <si>
    <t>Frac_Long ≥ Q3 ET (Comp_Count ≤ Q2 OU Sess_Count ≤ Q2)</t>
  </si>
  <si>
    <t>Activité irrégulière, compilations souvent espacées (pauses longues).</t>
  </si>
  <si>
    <t>Intermédiaire</t>
  </si>
  <si>
    <t>Sinon</t>
  </si>
  <si>
    <t>Profil moyen</t>
  </si>
  <si>
    <t>student_id</t>
  </si>
  <si>
    <t>file_id</t>
  </si>
  <si>
    <t>image_url</t>
  </si>
  <si>
    <t>filename</t>
  </si>
  <si>
    <t>0685c8001a43b03e0a155e1afa0c7bec2f4e82d24f7ce4843b25a441c45dd335</t>
  </si>
  <si>
    <t>1sqxqnWOgA9xGrBD_KPn0FgabZKt4e_sz</t>
  </si>
  <si>
    <t>https://drive.google.com/uc?export=view&amp;id=1sqxqnWOgA9xGrBD_KPn0FgabZKt4e_sz</t>
  </si>
  <si>
    <t>0685c8001a43b03e0a155e1afa0c7bec2f4e82d24f7ce4843b25a441c45dd335.png</t>
  </si>
  <si>
    <t>07445b2803cfbba249af9f27deaabc1c2aa5fd49745cd11637d45d1e8f939c2b</t>
  </si>
  <si>
    <t>1mQzUxNKLRJqIuVE3cBUo7q9u66CQ8yyb</t>
  </si>
  <si>
    <t>https://drive.google.com/uc?export=view&amp;id=1mQzUxNKLRJqIuVE3cBUo7q9u66CQ8yyb</t>
  </si>
  <si>
    <t>07445b2803cfbba249af9f27deaabc1c2aa5fd49745cd11637d45d1e8f939c2b.png</t>
  </si>
  <si>
    <t>080e819b7f2ec7fdf5df10abc0092a6ae39db49584244ea555a9ce18c8d57c53</t>
  </si>
  <si>
    <t>1gd-7RXch1_OvHkd-pK3FzzlzLMWII7wb</t>
  </si>
  <si>
    <t>https://drive.google.com/uc?export=view&amp;id=1gd-7RXch1_OvHkd-pK3FzzlzLMWII7wb</t>
  </si>
  <si>
    <t>080e819b7f2ec7fdf5df10abc0092a6ae39db49584244ea555a9ce18c8d57c53.png</t>
  </si>
  <si>
    <t>091dc109aa58c7a670f4b61bc23df548fec73c05c7582dfb7c51f3a925d3618f</t>
  </si>
  <si>
    <t>11RCN-6hGf4HEGM_ct7C7coTvx7HjYy5h</t>
  </si>
  <si>
    <t>https://drive.google.com/uc?export=view&amp;id=11RCN-6hGf4HEGM_ct7C7coTvx7HjYy5h</t>
  </si>
  <si>
    <t>091dc109aa58c7a670f4b61bc23df548fec73c05c7582dfb7c51f3a925d3618f.png</t>
  </si>
  <si>
    <t>0973288c77f97c9245c444f90526bc6137bc40b48200197fd5bb6134f618f165</t>
  </si>
  <si>
    <t>1qsP1dapjN-fUFeFbQ4phtLJm59XKyZSa</t>
  </si>
  <si>
    <t>https://drive.google.com/uc?export=view&amp;id=1qsP1dapjN-fUFeFbQ4phtLJm59XKyZSa</t>
  </si>
  <si>
    <t>0973288c77f97c9245c444f90526bc6137bc40b48200197fd5bb6134f618f165.png</t>
  </si>
  <si>
    <t>098d08de95d38eeec0842ad11e1e98d03c5afff456588f8ec0e9b2842aae39a3</t>
  </si>
  <si>
    <t>1S3ZbvfZsseq_zIOlCYdGvD29lZfP8LC1</t>
  </si>
  <si>
    <t>https://drive.google.com/uc?export=view&amp;id=1S3ZbvfZsseq_zIOlCYdGvD29lZfP8LC1</t>
  </si>
  <si>
    <t>098d08de95d38eeec0842ad11e1e98d03c5afff456588f8ec0e9b2842aae39a3.png</t>
  </si>
  <si>
    <t>0ff8e00eabc873cbfaa0832c3aa0e4a4b03e6f72593a71ecf7e5b2e4d0c82e06</t>
  </si>
  <si>
    <t>1ySMzrJYrKLb_oksDVTc1C6xFUbkBVOWd</t>
  </si>
  <si>
    <t>https://drive.google.com/uc?export=view&amp;id=1ySMzrJYrKLb_oksDVTc1C6xFUbkBVOWd</t>
  </si>
  <si>
    <t>0ff8e00eabc873cbfaa0832c3aa0e4a4b03e6f72593a71ecf7e5b2e4d0c82e06.png</t>
  </si>
  <si>
    <t>109c6e9ad83923fec425f5948621a620bad8efb25d507dbead8bcfa627bc55e6</t>
  </si>
  <si>
    <t>1a01hhWvjKuwD2x7iaTm5qc5HYefFgExu</t>
  </si>
  <si>
    <t>https://drive.google.com/uc?export=view&amp;id=1a01hhWvjKuwD2x7iaTm5qc5HYefFgExu</t>
  </si>
  <si>
    <t>109c6e9ad83923fec425f5948621a620bad8efb25d507dbead8bcfa627bc55e6.png</t>
  </si>
  <si>
    <t>125ae2e6409e498cf96017e4f7168a1612ea2f181a0ea99530cfafb7b3a64807</t>
  </si>
  <si>
    <t>1CPZUsUfkqkXiirbd0qxkTlaKBWSVtfuD</t>
  </si>
  <si>
    <t>https://drive.google.com/uc?export=view&amp;id=1CPZUsUfkqkXiirbd0qxkTlaKBWSVtfuD</t>
  </si>
  <si>
    <t>125ae2e6409e498cf96017e4f7168a1612ea2f181a0ea99530cfafb7b3a64807.png</t>
  </si>
  <si>
    <t>13b34a353ac9ea6554f0bfc998b55f394ed800dfc03b32dc37d311d2551a5749</t>
  </si>
  <si>
    <t>1AnmwvJ-MlOSJeUWbNoxheVtFxTpSig8v</t>
  </si>
  <si>
    <t>https://drive.google.com/uc?export=view&amp;id=1AnmwvJ-MlOSJeUWbNoxheVtFxTpSig8v</t>
  </si>
  <si>
    <t>13b34a353ac9ea6554f0bfc998b55f394ed800dfc03b32dc37d311d2551a5749.png</t>
  </si>
  <si>
    <t>155464e7a35faffd6b3b4f2e6b757098204e8a24221641b58ee8156acfd2e1fc</t>
  </si>
  <si>
    <t>1VQkWbGoDtVwfSjgSid6KysDJ0WS6qX1q</t>
  </si>
  <si>
    <t>https://drive.google.com/uc?export=view&amp;id=1VQkWbGoDtVwfSjgSid6KysDJ0WS6qX1q</t>
  </si>
  <si>
    <t>155464e7a35faffd6b3b4f2e6b757098204e8a24221641b58ee8156acfd2e1fc.png</t>
  </si>
  <si>
    <t>1e07cd29e230f3661645dcb909fda7759b80e0adf98716a5b82e22aa93a8223c</t>
  </si>
  <si>
    <t>1XG9Y_vhZ8dfJjVRTzJkR4T1t2-OBWp6z</t>
  </si>
  <si>
    <t>https://drive.google.com/uc?export=view&amp;id=1XG9Y_vhZ8dfJjVRTzJkR4T1t2-OBWp6z</t>
  </si>
  <si>
    <t>1e07cd29e230f3661645dcb909fda7759b80e0adf98716a5b82e22aa93a8223c.png</t>
  </si>
  <si>
    <t>1fa47ac7759a6ce7a6345af6515630bf1b0493c63c56c65ec1867dd8e850486c</t>
  </si>
  <si>
    <t>10_wKn7e2W2rSFVjPyMqCRwB5NwCGArCX</t>
  </si>
  <si>
    <t>https://drive.google.com/uc?export=view&amp;id=10_wKn7e2W2rSFVjPyMqCRwB5NwCGArCX</t>
  </si>
  <si>
    <t>1fa47ac7759a6ce7a6345af6515630bf1b0493c63c56c65ec1867dd8e850486c.png</t>
  </si>
  <si>
    <t>22d436278c2d2678362e2b3102b5bfa9227eecad30f599801b730e0cc7acd1c6</t>
  </si>
  <si>
    <t>1kLhHhAEVsaNyDWLI8-TIdFpBxf8alHnq</t>
  </si>
  <si>
    <t>https://drive.google.com/uc?export=view&amp;id=1kLhHhAEVsaNyDWLI8-TIdFpBxf8alHnq</t>
  </si>
  <si>
    <t>22d436278c2d2678362e2b3102b5bfa9227eecad30f599801b730e0cc7acd1c6.png</t>
  </si>
  <si>
    <t>23d73ca299f02110f10fe0b18902fd2ea5ad124d3a061f110083353b3899c369</t>
  </si>
  <si>
    <t>1Ora42oQeqLNaKmQYAyoyT9JzVzNvA2rw</t>
  </si>
  <si>
    <t>https://drive.google.com/uc?export=view&amp;id=1Ora42oQeqLNaKmQYAyoyT9JzVzNvA2rw</t>
  </si>
  <si>
    <t>23d73ca299f02110f10fe0b18902fd2ea5ad124d3a061f110083353b3899c369.png</t>
  </si>
  <si>
    <t>23e416c6f9deb987ac8f8f136e8551133ba63c734122e2f82eaeec72b03bad9e</t>
  </si>
  <si>
    <t>1sE8VnB4wfIBeDUzJe64rSZ2Cc4frwYje</t>
  </si>
  <si>
    <t>https://drive.google.com/uc?export=view&amp;id=1sE8VnB4wfIBeDUzJe64rSZ2Cc4frwYje</t>
  </si>
  <si>
    <t>23e416c6f9deb987ac8f8f136e8551133ba63c734122e2f82eaeec72b03bad9e.png</t>
  </si>
  <si>
    <t>275839578ec60b5084d5e18fccb01310e9f1b78293cad00bec043945e0f3e629</t>
  </si>
  <si>
    <t>1poUyOxCa1XHz3bTp_wJ8ean8DWsozfq2</t>
  </si>
  <si>
    <t>https://drive.google.com/uc?export=view&amp;id=1poUyOxCa1XHz3bTp_wJ8ean8DWsozfq2</t>
  </si>
  <si>
    <t>275839578ec60b5084d5e18fccb01310e9f1b78293cad00bec043945e0f3e629.png</t>
  </si>
  <si>
    <t>2a9dda5adde456cb4c1ec3735fde1d4591c3b0780ef3d82b8c7fed613382e82f</t>
  </si>
  <si>
    <t>1S4ZDsbNQVPEouk9hQ77am7X4TK8WvTpo</t>
  </si>
  <si>
    <t>https://drive.google.com/uc?export=view&amp;id=1S4ZDsbNQVPEouk9hQ77am7X4TK8WvTpo</t>
  </si>
  <si>
    <t>2a9dda5adde456cb4c1ec3735fde1d4591c3b0780ef3d82b8c7fed613382e82f.png</t>
  </si>
  <si>
    <t>2b2ac07813fde25641019289246d80a85054b31d93cd9dd4d8f4a3e717a017e1</t>
  </si>
  <si>
    <t>1ObwCQOYT1i0ZAwHaeevv91bgqr5Tnfg-</t>
  </si>
  <si>
    <t>https://drive.google.com/uc?export=view&amp;id=1ObwCQOYT1i0ZAwHaeevv91bgqr5Tnfg-</t>
  </si>
  <si>
    <t>2b2ac07813fde25641019289246d80a85054b31d93cd9dd4d8f4a3e717a017e1.png</t>
  </si>
  <si>
    <t>2f002333e3ee078069a370adede771895a413b747a8039cfe1f8b6d5f579fcc5</t>
  </si>
  <si>
    <t>144AJqTuMMv0ZKkig6o_ZIYpFg8LOuj0e</t>
  </si>
  <si>
    <t>https://drive.google.com/uc?export=view&amp;id=144AJqTuMMv0ZKkig6o_ZIYpFg8LOuj0e</t>
  </si>
  <si>
    <t>2f002333e3ee078069a370adede771895a413b747a8039cfe1f8b6d5f579fcc5.png</t>
  </si>
  <si>
    <t>322817f4854f2f71b85db9d2e7c04e4a44c91ea866c689f277a658abc7d22b12</t>
  </si>
  <si>
    <t>1r6fTNtFvRptovcIH_T05QD_kSo7PHoUB</t>
  </si>
  <si>
    <t>https://drive.google.com/uc?export=view&amp;id=1r6fTNtFvRptovcIH_T05QD_kSo7PHoUB</t>
  </si>
  <si>
    <t>322817f4854f2f71b85db9d2e7c04e4a44c91ea866c689f277a658abc7d22b12.png</t>
  </si>
  <si>
    <t>33d11b837cec96010145671e6661210fd68f3004627f8929038256ca7a8d8ebf</t>
  </si>
  <si>
    <t>1Z4DIsPVzsVnApF2scNzN8DPqpN1MfTI3</t>
  </si>
  <si>
    <t>https://drive.google.com/uc?export=view&amp;id=1Z4DIsPVzsVnApF2scNzN8DPqpN1MfTI3</t>
  </si>
  <si>
    <t>33d11b837cec96010145671e6661210fd68f3004627f8929038256ca7a8d8ebf.png</t>
  </si>
  <si>
    <t>345dad5114b3cd453211fb2463b2677b927fb8bed5528f041e0451dfd0f2dca2</t>
  </si>
  <si>
    <t>1rVVzscQ4uR7h1vj5LsSX0k6UWmcpZvJx</t>
  </si>
  <si>
    <t>https://drive.google.com/uc?export=view&amp;id=1rVVzscQ4uR7h1vj5LsSX0k6UWmcpZvJx</t>
  </si>
  <si>
    <t>345dad5114b3cd453211fb2463b2677b927fb8bed5528f041e0451dfd0f2dca2.png</t>
  </si>
  <si>
    <t>349cf265b30475874348c4e1b4520dc39d2668fe73f446cde11ed834aef06f6d</t>
  </si>
  <si>
    <t>1dzXAtkCKzRhScU7sPg31ATEeip_3pFQD</t>
  </si>
  <si>
    <t>https://drive.google.com/uc?export=view&amp;id=1dzXAtkCKzRhScU7sPg31ATEeip_3pFQD</t>
  </si>
  <si>
    <t>349cf265b30475874348c4e1b4520dc39d2668fe73f446cde11ed834aef06f6d.png</t>
  </si>
  <si>
    <t>351cff49ce968bd6bb542470c3004131a5042932b5f2cb0e7ea8492770b77485</t>
  </si>
  <si>
    <t>1ihKteDW_BL-vTqx9j_r_iJ1dQiwf1fth</t>
  </si>
  <si>
    <t>https://drive.google.com/uc?export=view&amp;id=1ihKteDW_BL-vTqx9j_r_iJ1dQiwf1fth</t>
  </si>
  <si>
    <t>351cff49ce968bd6bb542470c3004131a5042932b5f2cb0e7ea8492770b77485.png</t>
  </si>
  <si>
    <t>3c6c8b8647f1b51ec51557e9916c655923e73b1b0b8de099f40db81460e78611</t>
  </si>
  <si>
    <t>1LD8hExy8sh2GKLZzwzxMhCm6fNLF0Mm9</t>
  </si>
  <si>
    <t>https://drive.google.com/uc?export=view&amp;id=1LD8hExy8sh2GKLZzwzxMhCm6fNLF0Mm9</t>
  </si>
  <si>
    <t>3c6c8b8647f1b51ec51557e9916c655923e73b1b0b8de099f40db81460e78611.png</t>
  </si>
  <si>
    <t>3d85bc081b5cbae4e23792cd67c1c0fd9af811e86418a20d777c3fbe812ba910</t>
  </si>
  <si>
    <t>1vpczQ1s_q5qk6jstHxFCSRctjJPmK1dt</t>
  </si>
  <si>
    <t>https://drive.google.com/uc?export=view&amp;id=1vpczQ1s_q5qk6jstHxFCSRctjJPmK1dt</t>
  </si>
  <si>
    <t>3d85bc081b5cbae4e23792cd67c1c0fd9af811e86418a20d777c3fbe812ba910.png</t>
  </si>
  <si>
    <t>4082ac64b81101cbebcabd3b8b597bf7966896898674d507e118e3c0367ac800</t>
  </si>
  <si>
    <t>1_HJYcYRx_KlTTKC-NIq-gg2b_VPp2e0h</t>
  </si>
  <si>
    <t>https://drive.google.com/uc?export=view&amp;id=1_HJYcYRx_KlTTKC-NIq-gg2b_VPp2e0h</t>
  </si>
  <si>
    <t>4082ac64b81101cbebcabd3b8b597bf7966896898674d507e118e3c0367ac800.png</t>
  </si>
  <si>
    <t>40c1d250c97702986524dae1c4014dbac4abddab4fbfd395737f4e2fe64a247d</t>
  </si>
  <si>
    <t>1ja8oi67QySbQ4FLFohsXiSwauivGpqro</t>
  </si>
  <si>
    <t>https://drive.google.com/uc?export=view&amp;id=1ja8oi67QySbQ4FLFohsXiSwauivGpqro</t>
  </si>
  <si>
    <t>40c1d250c97702986524dae1c4014dbac4abddab4fbfd395737f4e2fe64a247d.png</t>
  </si>
  <si>
    <t>4225b96eae6636e51ed4b87746263b9e5d0e927d67326324fbf1544230fa6fb8</t>
  </si>
  <si>
    <t>1FqHI3Fq25wkts8Z4WtJCdNTLMhtr0Lnu</t>
  </si>
  <si>
    <t>https://drive.google.com/uc?export=view&amp;id=1FqHI3Fq25wkts8Z4WtJCdNTLMhtr0Lnu</t>
  </si>
  <si>
    <t>4225b96eae6636e51ed4b87746263b9e5d0e927d67326324fbf1544230fa6fb8.png</t>
  </si>
  <si>
    <t>438f91a3a02080977006d5b4ee2c29f6e0d0b58e848dc92712f3982a1449f481</t>
  </si>
  <si>
    <t>10n7uGJKsxa7H38YTGZbMaGPJLLB1KnUg</t>
  </si>
  <si>
    <t>https://drive.google.com/uc?export=view&amp;id=10n7uGJKsxa7H38YTGZbMaGPJLLB1KnUg</t>
  </si>
  <si>
    <t>438f91a3a02080977006d5b4ee2c29f6e0d0b58e848dc92712f3982a1449f481.png</t>
  </si>
  <si>
    <t>445c2ca905d33514cd3757e1141d0239349ca6678c20cd5eedab38fbe2fd36f9</t>
  </si>
  <si>
    <t>1Sd5yz_i_HruDxUoeK0cKmkHGQWQ9MaSe</t>
  </si>
  <si>
    <t>https://drive.google.com/uc?export=view&amp;id=1Sd5yz_i_HruDxUoeK0cKmkHGQWQ9MaSe</t>
  </si>
  <si>
    <t>445c2ca905d33514cd3757e1141d0239349ca6678c20cd5eedab38fbe2fd36f9.png</t>
  </si>
  <si>
    <t>453482ae02a485dd6eda2426eae4181835e1451a36229f550d4efb9d8a7a9470</t>
  </si>
  <si>
    <t>1-wmBBtdLSFewLnjp5Llf4TlVViqUSIu8</t>
  </si>
  <si>
    <t>https://drive.google.com/uc?export=view&amp;id=1-wmBBtdLSFewLnjp5Llf4TlVViqUSIu8</t>
  </si>
  <si>
    <t>453482ae02a485dd6eda2426eae4181835e1451a36229f550d4efb9d8a7a9470.png</t>
  </si>
  <si>
    <t>4557b3c2bc31d36048e3c48befc7212d35b7d0d885d3d1f102c9060238b5090a</t>
  </si>
  <si>
    <t>1Kscqr5nCPSEQRRULICFx3A9qxuG_41NW</t>
  </si>
  <si>
    <t>https://drive.google.com/uc?export=view&amp;id=1Kscqr5nCPSEQRRULICFx3A9qxuG_41NW</t>
  </si>
  <si>
    <t>4557b3c2bc31d36048e3c48befc7212d35b7d0d885d3d1f102c9060238b5090a.png</t>
  </si>
  <si>
    <t>48002b47ecdcaeb4828400130c7d77959319f9ae612dfbd03a91f7422c093ac7</t>
  </si>
  <si>
    <t>1nxwPD6l19H9RfD1beYZagQq6RADqS3hg</t>
  </si>
  <si>
    <t>https://drive.google.com/uc?export=view&amp;id=1nxwPD6l19H9RfD1beYZagQq6RADqS3hg</t>
  </si>
  <si>
    <t>48002b47ecdcaeb4828400130c7d77959319f9ae612dfbd03a91f7422c093ac7.png</t>
  </si>
  <si>
    <t>48f565383f47c6752893810686bd0c5f07fef08e34bc22a3f398d3b8c8db7c43</t>
  </si>
  <si>
    <t>14xCI4jAQbPhylo07sHgW9d88P3mmmfAq</t>
  </si>
  <si>
    <t>https://drive.google.com/uc?export=view&amp;id=14xCI4jAQbPhylo07sHgW9d88P3mmmfAq</t>
  </si>
  <si>
    <t>48f565383f47c6752893810686bd0c5f07fef08e34bc22a3f398d3b8c8db7c43.png</t>
  </si>
  <si>
    <t>4d1ccd3b1393438168aeac88ee6d753d95c33c77fcc46afa13a5415a265323c2</t>
  </si>
  <si>
    <t>1-YWQEw-ntfurCrSZ4yEJEYBolKn2c3Yp</t>
  </si>
  <si>
    <t>https://drive.google.com/uc?export=view&amp;id=1-YWQEw-ntfurCrSZ4yEJEYBolKn2c3Yp</t>
  </si>
  <si>
    <t>4d1ccd3b1393438168aeac88ee6d753d95c33c77fcc46afa13a5415a265323c2.png</t>
  </si>
  <si>
    <t>4ed6af94d2babfb73aae073691a59e8e6a1beb6bfaf77b75dac470cfc3b33199</t>
  </si>
  <si>
    <t>1SgSDsUM_bSFsvK6JNJ2IU_rXxNOXvQrk</t>
  </si>
  <si>
    <t>https://drive.google.com/uc?export=view&amp;id=1SgSDsUM_bSFsvK6JNJ2IU_rXxNOXvQrk</t>
  </si>
  <si>
    <t>4ed6af94d2babfb73aae073691a59e8e6a1beb6bfaf77b75dac470cfc3b33199.png</t>
  </si>
  <si>
    <t>4f803c4f3466d829bc74ad7bf98f1767adad548d1c0d9e25b45b5b84b3220471</t>
  </si>
  <si>
    <t>1VqAurQtPwqQfvLkXhDcl_r4MbtoeyO8k</t>
  </si>
  <si>
    <t>https://drive.google.com/uc?export=view&amp;id=1VqAurQtPwqQfvLkXhDcl_r4MbtoeyO8k</t>
  </si>
  <si>
    <t>4f803c4f3466d829bc74ad7bf98f1767adad548d1c0d9e25b45b5b84b3220471.png</t>
  </si>
  <si>
    <t>519b74a02a32927ee8af772a01038d36736eb2aaeb604f8a15719710d72ccc04</t>
  </si>
  <si>
    <t>1hWyNPvVA0wxsjDZThVlXPWPGLRQ6aDOo</t>
  </si>
  <si>
    <t>https://drive.google.com/uc?export=view&amp;id=1hWyNPvVA0wxsjDZThVlXPWPGLRQ6aDOo</t>
  </si>
  <si>
    <t>519b74a02a32927ee8af772a01038d36736eb2aaeb604f8a15719710d72ccc04.png</t>
  </si>
  <si>
    <t>53a6166821a8283bfffd1ba2d422ad4d81a71118145da6cba3f6134219ceaeb4</t>
  </si>
  <si>
    <t>1USaItoX-BQ80z_wNRZ1QDfKFac8RIleI</t>
  </si>
  <si>
    <t>https://drive.google.com/uc?export=view&amp;id=1USaItoX-BQ80z_wNRZ1QDfKFac8RIleI</t>
  </si>
  <si>
    <t>53a6166821a8283bfffd1ba2d422ad4d81a71118145da6cba3f6134219ceaeb4.png</t>
  </si>
  <si>
    <t>53b87d41de61b0eb5ef6562222f1f3bcd5b5ce1da053e57f47b6ed23d7aa8502</t>
  </si>
  <si>
    <t>1R7muAS7VYcQoOla3ePjUl2qd10sPRFs2</t>
  </si>
  <si>
    <t>https://drive.google.com/uc?export=view&amp;id=1R7muAS7VYcQoOla3ePjUl2qd10sPRFs2</t>
  </si>
  <si>
    <t>53b87d41de61b0eb5ef6562222f1f3bcd5b5ce1da053e57f47b6ed23d7aa8502.png</t>
  </si>
  <si>
    <t>570df8c7a9f77bb2889ba29eb35271e4e2340fd1709d075882800ac637643e15</t>
  </si>
  <si>
    <t>1x-L9XHxf_0kh1A_mrVkE0dlKeyNsKgTS</t>
  </si>
  <si>
    <t>https://drive.google.com/uc?export=view&amp;id=1x-L9XHxf_0kh1A_mrVkE0dlKeyNsKgTS</t>
  </si>
  <si>
    <t>570df8c7a9f77bb2889ba29eb35271e4e2340fd1709d075882800ac637643e15.png</t>
  </si>
  <si>
    <t>57204251806dead2a0fa57a8ced7cac019acf134ccef4a141a934e49fdf271b1</t>
  </si>
  <si>
    <t>1wtiKQdmQbJ-E2kanCE1bWpVidTz6k8yK</t>
  </si>
  <si>
    <t>https://drive.google.com/uc?export=view&amp;id=1wtiKQdmQbJ-E2kanCE1bWpVidTz6k8yK</t>
  </si>
  <si>
    <t>57204251806dead2a0fa57a8ced7cac019acf134ccef4a141a934e49fdf271b1.png</t>
  </si>
  <si>
    <t>5c075290e921279538ad0cbf9786e8855bd2c7f97a066c94d059d313cb34273b</t>
  </si>
  <si>
    <t>1HV2JGLQV-mnF6Tp3rWmXyzAlEBxWPxir</t>
  </si>
  <si>
    <t>https://drive.google.com/uc?export=view&amp;id=1HV2JGLQV-mnF6Tp3rWmXyzAlEBxWPxir</t>
  </si>
  <si>
    <t>5c075290e921279538ad0cbf9786e8855bd2c7f97a066c94d059d313cb34273b.png</t>
  </si>
  <si>
    <t>5d60fc4768a0d01e3d533d2d5353bdffb58877bc2971bc7053a54071fa4c2f49</t>
  </si>
  <si>
    <t>1AaldctBMFq5f772W-98vle90hOUkR-5F</t>
  </si>
  <si>
    <t>https://drive.google.com/uc?export=view&amp;id=1AaldctBMFq5f772W-98vle90hOUkR-5F</t>
  </si>
  <si>
    <t>5d60fc4768a0d01e3d533d2d5353bdffb58877bc2971bc7053a54071fa4c2f49.png</t>
  </si>
  <si>
    <t>5e8589d4cd67c4b88f84e378d72875ccd07de5c9e20cc666bbf217de9d3567b4</t>
  </si>
  <si>
    <t>1dG--sOmJ0umUjJWtFC_lEiS1CwFlsu57</t>
  </si>
  <si>
    <t>https://drive.google.com/uc?export=view&amp;id=1dG--sOmJ0umUjJWtFC_lEiS1CwFlsu57</t>
  </si>
  <si>
    <t>5e8589d4cd67c4b88f84e378d72875ccd07de5c9e20cc666bbf217de9d3567b4.png</t>
  </si>
  <si>
    <t>60dc13afd9db46855db7cb4b46b2429c473ae61d93c867bb13914cc0ee137a78</t>
  </si>
  <si>
    <t>1BrFR-IgTLzgT1wITEtGasX_gQpbjEH5r</t>
  </si>
  <si>
    <t>https://drive.google.com/uc?export=view&amp;id=1BrFR-IgTLzgT1wITEtGasX_gQpbjEH5r</t>
  </si>
  <si>
    <t>60dc13afd9db46855db7cb4b46b2429c473ae61d93c867bb13914cc0ee137a78.png</t>
  </si>
  <si>
    <t>67010df78663529aee482809d36765b8f1fc70fcbc5f1d53546f9ea6dfff5384</t>
  </si>
  <si>
    <t>1kLx9ggx_Krl9CN7Q88-rIczxgrgrA_5O</t>
  </si>
  <si>
    <t>https://drive.google.com/uc?export=view&amp;id=1kLx9ggx_Krl9CN7Q88-rIczxgrgrA_5O</t>
  </si>
  <si>
    <t>67010df78663529aee482809d36765b8f1fc70fcbc5f1d53546f9ea6dfff5384.png</t>
  </si>
  <si>
    <t>69ea8e8a316c3f982db0286a71ca33c251b858994e27bb848e628967df9d15f9</t>
  </si>
  <si>
    <t>1VO-blCnKuEYS9qo8oCv28yM3HgVBDY4k</t>
  </si>
  <si>
    <t>https://drive.google.com/uc?export=view&amp;id=1VO-blCnKuEYS9qo8oCv28yM3HgVBDY4k</t>
  </si>
  <si>
    <t>69ea8e8a316c3f982db0286a71ca33c251b858994e27bb848e628967df9d15f9.png</t>
  </si>
  <si>
    <t>6a91389bf293538f8bfd1747ffc38730176f9e72e8ed7004fabc8cd25e69df6b</t>
  </si>
  <si>
    <t>1gOgwzP7D2h0Z1F21fEkAjqfyxVJvT7p-</t>
  </si>
  <si>
    <t>https://drive.google.com/uc?export=view&amp;id=1gOgwzP7D2h0Z1F21fEkAjqfyxVJvT7p-</t>
  </si>
  <si>
    <t>6a91389bf293538f8bfd1747ffc38730176f9e72e8ed7004fabc8cd25e69df6b.png</t>
  </si>
  <si>
    <t>6b689d246c11ea35bf66a151aa4d7d83d1e1b11f9f3a3876c5d609048ea310f8</t>
  </si>
  <si>
    <t>1a6m6qE7T8XN3G9ZzjAeDnpm1xODJVD2W</t>
  </si>
  <si>
    <t>https://drive.google.com/uc?export=view&amp;id=1a6m6qE7T8XN3G9ZzjAeDnpm1xODJVD2W</t>
  </si>
  <si>
    <t>6b689d246c11ea35bf66a151aa4d7d83d1e1b11f9f3a3876c5d609048ea310f8.png</t>
  </si>
  <si>
    <t>6b6e8c7036722d03a34126403e7106d3512a2d4b72bcd8bde651614e8ad42d7b</t>
  </si>
  <si>
    <t>1GoH205H7SDSeSRKizC_YohEv3ZGZXxse</t>
  </si>
  <si>
    <t>https://drive.google.com/uc?export=view&amp;id=1GoH205H7SDSeSRKizC_YohEv3ZGZXxse</t>
  </si>
  <si>
    <t>6b6e8c7036722d03a34126403e7106d3512a2d4b72bcd8bde651614e8ad42d7b.png</t>
  </si>
  <si>
    <t>6d7f68c6bb26c8342bf3a3e21bb30c4a24aa6ccd9d3319af32684e6641052dcd</t>
  </si>
  <si>
    <t>1Fp2mbB6QTjzNKyRuAhu51uK9XWGZJ0vs</t>
  </si>
  <si>
    <t>https://drive.google.com/uc?export=view&amp;id=1Fp2mbB6QTjzNKyRuAhu51uK9XWGZJ0vs</t>
  </si>
  <si>
    <t>6d7f68c6bb26c8342bf3a3e21bb30c4a24aa6ccd9d3319af32684e6641052dcd.png</t>
  </si>
  <si>
    <t>6dd7cb5359f54edb9eb0becd33d19118d3e93e266ef7644cf7b9ad2b9ed1262d</t>
  </si>
  <si>
    <t>1scI44eFWwzPsngWI-y80jrGu65dPSnBY</t>
  </si>
  <si>
    <t>https://drive.google.com/uc?export=view&amp;id=1scI44eFWwzPsngWI-y80jrGu65dPSnBY</t>
  </si>
  <si>
    <t>6dd7cb5359f54edb9eb0becd33d19118d3e93e266ef7644cf7b9ad2b9ed1262d.png</t>
  </si>
  <si>
    <t>6f8b95ec81c4c65578c705246889ade2223999b1383dbb36d4aae1502b94f22f</t>
  </si>
  <si>
    <t>1UbWYqv9Pgk3-DhkNWiWiJWOb7vsKeDrh</t>
  </si>
  <si>
    <t>https://drive.google.com/uc?export=view&amp;id=1UbWYqv9Pgk3-DhkNWiWiJWOb7vsKeDrh</t>
  </si>
  <si>
    <t>6f8b95ec81c4c65578c705246889ade2223999b1383dbb36d4aae1502b94f22f.png</t>
  </si>
  <si>
    <t>7018f9f84b61c5801779302689a34fef5b2e9d95f52479d9ef486efda2e55c21</t>
  </si>
  <si>
    <t>1LeI13vNVUwpoOe3aB5qXyzdvDeRMQW9w</t>
  </si>
  <si>
    <t>https://drive.google.com/uc?export=view&amp;id=1LeI13vNVUwpoOe3aB5qXyzdvDeRMQW9w</t>
  </si>
  <si>
    <t>7018f9f84b61c5801779302689a34fef5b2e9d95f52479d9ef486efda2e55c21.png</t>
  </si>
  <si>
    <t>7026047c5e9f18234ed92d0bc1518a2a4944fc2a9a0bb90628e20b2d93e7f9ae</t>
  </si>
  <si>
    <t>1C0hRWT9xPhxebxS20gdcnONnrFFrHrc8</t>
  </si>
  <si>
    <t>https://drive.google.com/uc?export=view&amp;id=1C0hRWT9xPhxebxS20gdcnONnrFFrHrc8</t>
  </si>
  <si>
    <t>7026047c5e9f18234ed92d0bc1518a2a4944fc2a9a0bb90628e20b2d93e7f9ae.png</t>
  </si>
  <si>
    <t>73da0df025bd69a83446ff2c9628a7f2f1ff34bff9e343059e17e4d31a6218d3</t>
  </si>
  <si>
    <t>18e8CKNN7uYnEReVwAR_x3SW6-0KRC1ti</t>
  </si>
  <si>
    <t>https://drive.google.com/uc?export=view&amp;id=18e8CKNN7uYnEReVwAR_x3SW6-0KRC1ti</t>
  </si>
  <si>
    <t>73da0df025bd69a83446ff2c9628a7f2f1ff34bff9e343059e17e4d31a6218d3.png</t>
  </si>
  <si>
    <t>753b3dfbf00b265816877af61db67c39ee3fae2b4e0a7b8f387b5163ff85b1bc</t>
  </si>
  <si>
    <t>1e3etQJ8LUZDBj9jvtlX132eBr56q_dyi</t>
  </si>
  <si>
    <t>https://drive.google.com/uc?export=view&amp;id=1e3etQJ8LUZDBj9jvtlX132eBr56q_dyi</t>
  </si>
  <si>
    <t>753b3dfbf00b265816877af61db67c39ee3fae2b4e0a7b8f387b5163ff85b1bc.png</t>
  </si>
  <si>
    <t>76b0bf253c0d17b6f275cc641729eda42ebed851893da32c132515023ab1e4e1</t>
  </si>
  <si>
    <t>13-e9Hh-YxadlpFGjAtCfZq1t4LldE2sW</t>
  </si>
  <si>
    <t>https://drive.google.com/uc?export=view&amp;id=13-e9Hh-YxadlpFGjAtCfZq1t4LldE2sW</t>
  </si>
  <si>
    <t>76b0bf253c0d17b6f275cc641729eda42ebed851893da32c132515023ab1e4e1.png</t>
  </si>
  <si>
    <t>7854ad4022596904b137ebbb044e0bbbd2f590b0dac7f5a46d9991f3c049d647</t>
  </si>
  <si>
    <t>1k250XgvOOF72FEsWYUjCjr-vWk2rMvCA</t>
  </si>
  <si>
    <t>https://drive.google.com/uc?export=view&amp;id=1k250XgvOOF72FEsWYUjCjr-vWk2rMvCA</t>
  </si>
  <si>
    <t>7854ad4022596904b137ebbb044e0bbbd2f590b0dac7f5a46d9991f3c049d647.png</t>
  </si>
  <si>
    <t>78cb6709ef3e4aa9ec5148bce49e841e9a6257b64dff512fdffde18f1e1fcd14</t>
  </si>
  <si>
    <t>15Ixz7gRkuWUlEcmqDxujhcHoFK2aMWqh</t>
  </si>
  <si>
    <t>https://drive.google.com/uc?export=view&amp;id=15Ixz7gRkuWUlEcmqDxujhcHoFK2aMWqh</t>
  </si>
  <si>
    <t>78cb6709ef3e4aa9ec5148bce49e841e9a6257b64dff512fdffde18f1e1fcd14.png</t>
  </si>
  <si>
    <t>7ce2ef889fd3931ddf910c65e58e6b626f658d713486152c54f9f8a0e6f37375</t>
  </si>
  <si>
    <t>1PwzuPp2VxTtnOGGjL52cSiCJNgHn1YaD</t>
  </si>
  <si>
    <t>https://drive.google.com/uc?export=view&amp;id=1PwzuPp2VxTtnOGGjL52cSiCJNgHn1YaD</t>
  </si>
  <si>
    <t>7ce2ef889fd3931ddf910c65e58e6b626f658d713486152c54f9f8a0e6f37375.png</t>
  </si>
  <si>
    <t>8072f6579de3261211c2d30eb23619d2299179bf8835aed226d36f99aa88249d</t>
  </si>
  <si>
    <t>1KwLbqsL-6Q1yoE8G3AwMdnmzLWWbbrjt</t>
  </si>
  <si>
    <t>https://drive.google.com/uc?export=view&amp;id=1KwLbqsL-6Q1yoE8G3AwMdnmzLWWbbrjt</t>
  </si>
  <si>
    <t>8072f6579de3261211c2d30eb23619d2299179bf8835aed226d36f99aa88249d.png</t>
  </si>
  <si>
    <t>81aadc08216233fb3ec392c41a57432e51f78e8bd6996aacb76ad6dc1477ddfa</t>
  </si>
  <si>
    <t>1rbHe7QhudbHnymZr_9pBTuKQfrZ2HOxy</t>
  </si>
  <si>
    <t>https://drive.google.com/uc?export=view&amp;id=1rbHe7QhudbHnymZr_9pBTuKQfrZ2HOxy</t>
  </si>
  <si>
    <t>81aadc08216233fb3ec392c41a57432e51f78e8bd6996aacb76ad6dc1477ddfa.png</t>
  </si>
  <si>
    <t>8535ef1089f557f019e2fa787114fa1819dadf2106ea8f0b82f86e57f914ea2d</t>
  </si>
  <si>
    <t>1U9DtZZk7RfpK6n808zOfKMncNJh84Avf</t>
  </si>
  <si>
    <t>https://drive.google.com/uc?export=view&amp;id=1U9DtZZk7RfpK6n808zOfKMncNJh84Avf</t>
  </si>
  <si>
    <t>8535ef1089f557f019e2fa787114fa1819dadf2106ea8f0b82f86e57f914ea2d.png</t>
  </si>
  <si>
    <t>8630de5bd303be8b63ba99b787f0f5ed4422765c8917b234cb8a2af6b762ca1d</t>
  </si>
  <si>
    <t>1qYx6YzAd7RoThhzI3dj8xoMiKTgPNNQB</t>
  </si>
  <si>
    <t>https://drive.google.com/uc?export=view&amp;id=1qYx6YzAd7RoThhzI3dj8xoMiKTgPNNQB</t>
  </si>
  <si>
    <t>8630de5bd303be8b63ba99b787f0f5ed4422765c8917b234cb8a2af6b762ca1d.png</t>
  </si>
  <si>
    <t>86d73054aa9c80dbfbfce326489454f67087052ce0720f75ec87b849d851ce2b</t>
  </si>
  <si>
    <t>18PFzE98x-7-38bIQQMeBbQhFyyG9UUtz</t>
  </si>
  <si>
    <t>https://drive.google.com/uc?export=view&amp;id=18PFzE98x-7-38bIQQMeBbQhFyyG9UUtz</t>
  </si>
  <si>
    <t>86d73054aa9c80dbfbfce326489454f67087052ce0720f75ec87b849d851ce2b.png</t>
  </si>
  <si>
    <t>88faa9b4e525ea83f6efab60ae88469da5222f0b0f52c16c3af4e4763baa1daf</t>
  </si>
  <si>
    <t>19H3R4zgjHAZiflYsQweOJLmZA10Cc78n</t>
  </si>
  <si>
    <t>https://drive.google.com/uc?export=view&amp;id=19H3R4zgjHAZiflYsQweOJLmZA10Cc78n</t>
  </si>
  <si>
    <t>88faa9b4e525ea83f6efab60ae88469da5222f0b0f52c16c3af4e4763baa1daf.png</t>
  </si>
  <si>
    <t>89b998636f98304acf1f5a475b5fad130ac8020d521969a48412173d2ac0971f</t>
  </si>
  <si>
    <t>1O04KDqtItyWS1Wb-hZKH6topLFRMZlv3</t>
  </si>
  <si>
    <t>https://drive.google.com/uc?export=view&amp;id=1O04KDqtItyWS1Wb-hZKH6topLFRMZlv3</t>
  </si>
  <si>
    <t>89b998636f98304acf1f5a475b5fad130ac8020d521969a48412173d2ac0971f.png</t>
  </si>
  <si>
    <t>8c496c831c776415f7491e6de8457bb88c62eefeff270c8e0dbec39b78b9413d</t>
  </si>
  <si>
    <t>1jAZtFB12Rl6jbJsP0SUQUV9msGXpS2tU</t>
  </si>
  <si>
    <t>https://drive.google.com/uc?export=view&amp;id=1jAZtFB12Rl6jbJsP0SUQUV9msGXpS2tU</t>
  </si>
  <si>
    <t>8c496c831c776415f7491e6de8457bb88c62eefeff270c8e0dbec39b78b9413d.png</t>
  </si>
  <si>
    <t>8dd7d47134248a03ffb88fe97e5ab8501d976a5d539ff01c30727b79ede1424f</t>
  </si>
  <si>
    <t>1naYrMkREi0PJzgc9bgZeFCm69CA2pI0W</t>
  </si>
  <si>
    <t>https://drive.google.com/uc?export=view&amp;id=1naYrMkREi0PJzgc9bgZeFCm69CA2pI0W</t>
  </si>
  <si>
    <t>8dd7d47134248a03ffb88fe97e5ab8501d976a5d539ff01c30727b79ede1424f.png</t>
  </si>
  <si>
    <t>9181e670a018653889d5263448f199379588274b90c51348445093423b56396b</t>
  </si>
  <si>
    <t>1VAxERSm6fixG7fkF2k7SKEGugva4DyH1</t>
  </si>
  <si>
    <t>https://drive.google.com/uc?export=view&amp;id=1VAxERSm6fixG7fkF2k7SKEGugva4DyH1</t>
  </si>
  <si>
    <t>9181e670a018653889d5263448f199379588274b90c51348445093423b56396b.png</t>
  </si>
  <si>
    <t>9323ada035535298a0de65f40698a45122446c861947978f1be17123ecf09a53</t>
  </si>
  <si>
    <t>1aWxz4CkqXjPSW6kvsDSHIzeZzQdMT1jt</t>
  </si>
  <si>
    <t>https://drive.google.com/uc?export=view&amp;id=1aWxz4CkqXjPSW6kvsDSHIzeZzQdMT1jt</t>
  </si>
  <si>
    <t>9323ada035535298a0de65f40698a45122446c861947978f1be17123ecf09a53.png</t>
  </si>
  <si>
    <t>93a7aef5296e288f3a39f8c1c0dcb8935c9657f5c87378408e5d1910444e7c70</t>
  </si>
  <si>
    <t>1cpBJQeIrZvmHSoWSkVCLqJBwDfgl0htc</t>
  </si>
  <si>
    <t>https://drive.google.com/uc?export=view&amp;id=1cpBJQeIrZvmHSoWSkVCLqJBwDfgl0htc</t>
  </si>
  <si>
    <t>93a7aef5296e288f3a39f8c1c0dcb8935c9657f5c87378408e5d1910444e7c70.png</t>
  </si>
  <si>
    <t>950ed53de307960251af3e387e595945da87494d2d2edf58b103f58f4ccfef78</t>
  </si>
  <si>
    <t>1KUYkQ-ntI_NqmCyx1LRq9TmGDjdyUJqE</t>
  </si>
  <si>
    <t>https://drive.google.com/uc?export=view&amp;id=1KUYkQ-ntI_NqmCyx1LRq9TmGDjdyUJqE</t>
  </si>
  <si>
    <t>950ed53de307960251af3e387e595945da87494d2d2edf58b103f58f4ccfef78.png</t>
  </si>
  <si>
    <t>95944dae06f4e15b8e63e41064092bc51db9f568df5abcdb866112b0a58a759a</t>
  </si>
  <si>
    <t>1o-WHA7KYmRDE9B-j0opRv1mmpESGVSDE</t>
  </si>
  <si>
    <t>https://drive.google.com/uc?export=view&amp;id=1o-WHA7KYmRDE9B-j0opRv1mmpESGVSDE</t>
  </si>
  <si>
    <t>95944dae06f4e15b8e63e41064092bc51db9f568df5abcdb866112b0a58a759a.png</t>
  </si>
  <si>
    <t>95e604186e18386f749a6d26e0868477c65803267b7c4d7bf606f77b8bbe1da4</t>
  </si>
  <si>
    <t>1TCMBbszNEGlsL5VtxrzOMEYelJOIT9FZ</t>
  </si>
  <si>
    <t>https://drive.google.com/uc?export=view&amp;id=1TCMBbszNEGlsL5VtxrzOMEYelJOIT9FZ</t>
  </si>
  <si>
    <t>95e604186e18386f749a6d26e0868477c65803267b7c4d7bf606f77b8bbe1da4.png</t>
  </si>
  <si>
    <t>9675bde0231da8d75eeb40196ec9fda32306f8be61e38a1325b034f2472db01e</t>
  </si>
  <si>
    <t>1EFnExG5fZ-NLFcaXn0b9OWk8PNUH8qe7</t>
  </si>
  <si>
    <t>https://drive.google.com/uc?export=view&amp;id=1EFnExG5fZ-NLFcaXn0b9OWk8PNUH8qe7</t>
  </si>
  <si>
    <t>9675bde0231da8d75eeb40196ec9fda32306f8be61e38a1325b034f2472db01e.png</t>
  </si>
  <si>
    <t>a000fa4903a3a8290435e1735ea6773bf2f2a14d1b5e564b6ab0e060b8e38688</t>
  </si>
  <si>
    <t>1uG7f9LEw4Tgmf2x_G-CSaBlN4yCuZ9mV</t>
  </si>
  <si>
    <t>https://drive.google.com/uc?export=view&amp;id=1uG7f9LEw4Tgmf2x_G-CSaBlN4yCuZ9mV</t>
  </si>
  <si>
    <t>a000fa4903a3a8290435e1735ea6773bf2f2a14d1b5e564b6ab0e060b8e38688.png</t>
  </si>
  <si>
    <t>a1437f4d7c5982c950cc3bb1cfab162aa1470eb7263b45d865b404015088558b</t>
  </si>
  <si>
    <t>1LMx0ph-z-_iOcVg2kOfIWcypZQfXqIA1</t>
  </si>
  <si>
    <t>https://drive.google.com/uc?export=view&amp;id=1LMx0ph-z-_iOcVg2kOfIWcypZQfXqIA1</t>
  </si>
  <si>
    <t>a1437f4d7c5982c950cc3bb1cfab162aa1470eb7263b45d865b404015088558b.png</t>
  </si>
  <si>
    <t>a1a57315af0421443e73ff39f4cc4afaabfb05e5c435fafd3504fd91ab223453</t>
  </si>
  <si>
    <t>1T0BXBVd2WEA0rN6Nsr040TtJHURtL0se</t>
  </si>
  <si>
    <t>https://drive.google.com/uc?export=view&amp;id=1T0BXBVd2WEA0rN6Nsr040TtJHURtL0se</t>
  </si>
  <si>
    <t>a1a57315af0421443e73ff39f4cc4afaabfb05e5c435fafd3504fd91ab223453.png</t>
  </si>
  <si>
    <t>a35833a67176bfc8c1457633e2e41ffb5e4bf6aac7127377e8b9881caf1cf52e</t>
  </si>
  <si>
    <t>1sYKlfjPAzIf7pKZldzOcRdd8zRu1lGqC</t>
  </si>
  <si>
    <t>https://drive.google.com/uc?export=view&amp;id=1sYKlfjPAzIf7pKZldzOcRdd8zRu1lGqC</t>
  </si>
  <si>
    <t>a35833a67176bfc8c1457633e2e41ffb5e4bf6aac7127377e8b9881caf1cf52e.png</t>
  </si>
  <si>
    <t>aa3e744d9ea1bfef5bac5c29b695be41bbe453b6bf59bb5ff04d04fe3ddb9b7e</t>
  </si>
  <si>
    <t>1rsDtebJyUsc44D4azSN_1tatCsc4z1dx</t>
  </si>
  <si>
    <t>https://drive.google.com/uc?export=view&amp;id=1rsDtebJyUsc44D4azSN_1tatCsc4z1dx</t>
  </si>
  <si>
    <t>aa3e744d9ea1bfef5bac5c29b695be41bbe453b6bf59bb5ff04d04fe3ddb9b7e.png</t>
  </si>
  <si>
    <t>ad1624c5c3a02a3a3b3dcb044b912998b64ca2e7cd54abe79476f86a41a3234b</t>
  </si>
  <si>
    <t>1boprvg52jz6DUjrhMm3fTaAr8Ssf99vW</t>
  </si>
  <si>
    <t>https://drive.google.com/uc?export=view&amp;id=1boprvg52jz6DUjrhMm3fTaAr8Ssf99vW</t>
  </si>
  <si>
    <t>ad1624c5c3a02a3a3b3dcb044b912998b64ca2e7cd54abe79476f86a41a3234b.png</t>
  </si>
  <si>
    <t>ad6fc94e2a663a8989f7238cc0e2427eb8b8ff0a464fff43d68ee9e1ac82aac4</t>
  </si>
  <si>
    <t>1Yu1VNIyh00VY0qz0F_SRTFrtl5eLAGmY</t>
  </si>
  <si>
    <t>https://drive.google.com/uc?export=view&amp;id=1Yu1VNIyh00VY0qz0F_SRTFrtl5eLAGmY</t>
  </si>
  <si>
    <t>ad6fc94e2a663a8989f7238cc0e2427eb8b8ff0a464fff43d68ee9e1ac82aac4.png</t>
  </si>
  <si>
    <t>aeff5cdc8c731a2b16beb6f260aeeca455401bc2ddb229aa87a464475f95b1ca</t>
  </si>
  <si>
    <t>1VL4c-d4O-yiBWWNmldRSJBMlKzGmetZ8</t>
  </si>
  <si>
    <t>https://drive.google.com/uc?export=view&amp;id=1VL4c-d4O-yiBWWNmldRSJBMlKzGmetZ8</t>
  </si>
  <si>
    <t>aeff5cdc8c731a2b16beb6f260aeeca455401bc2ddb229aa87a464475f95b1ca.png</t>
  </si>
  <si>
    <t>aff3f9448ca917cc6f9b0fa8f92a2dadcee4f890337259421ce866e71ff22c49</t>
  </si>
  <si>
    <t>1JBbWCHh77B7AFb50OBlUvv7RBZNP1_mz</t>
  </si>
  <si>
    <t>https://drive.google.com/uc?export=view&amp;id=1JBbWCHh77B7AFb50OBlUvv7RBZNP1_mz</t>
  </si>
  <si>
    <t>aff3f9448ca917cc6f9b0fa8f92a2dadcee4f890337259421ce866e71ff22c49.png</t>
  </si>
  <si>
    <t>b2739ffce4a91e9880373035f1a135a3772577ebe8a9e985482de17ccedccefd</t>
  </si>
  <si>
    <t>1nZ7KjaIM3yzNGcxNK_SJHBvC9VK4ldUk</t>
  </si>
  <si>
    <t>https://drive.google.com/uc?export=view&amp;id=1nZ7KjaIM3yzNGcxNK_SJHBvC9VK4ldUk</t>
  </si>
  <si>
    <t>b2739ffce4a91e9880373035f1a135a3772577ebe8a9e985482de17ccedccefd.png</t>
  </si>
  <si>
    <t>b2c90b16a2864cf16993f00192cdb13ee656ac6cd53f745acd473a25224cd05d</t>
  </si>
  <si>
    <t>1vcDXNmIRfpjCkH8mB1l4VGSAWZQ-235f</t>
  </si>
  <si>
    <t>https://drive.google.com/uc?export=view&amp;id=1vcDXNmIRfpjCkH8mB1l4VGSAWZQ-235f</t>
  </si>
  <si>
    <t>b2c90b16a2864cf16993f00192cdb13ee656ac6cd53f745acd473a25224cd05d.png</t>
  </si>
  <si>
    <t>bb0c30cc3cd79a7b954b6a58338b43ab5c258562b868a12e26fa432eed432da9</t>
  </si>
  <si>
    <t>1f5efNff1_VHTdnWGHBb9oyiD9DHu-nDA</t>
  </si>
  <si>
    <t>https://drive.google.com/uc?export=view&amp;id=1f5efNff1_VHTdnWGHBb9oyiD9DHu-nDA</t>
  </si>
  <si>
    <t>bb0c30cc3cd79a7b954b6a58338b43ab5c258562b868a12e26fa432eed432da9.png</t>
  </si>
  <si>
    <t>bc7fef2cefba2315bb3b68531dc5dcb4a490a3a089fdceb6802c0198959c0e19</t>
  </si>
  <si>
    <t>1MKIKgdPRsQtU1eZxstZo_pymUpDRYYIE</t>
  </si>
  <si>
    <t>https://drive.google.com/uc?export=view&amp;id=1MKIKgdPRsQtU1eZxstZo_pymUpDRYYIE</t>
  </si>
  <si>
    <t>bc7fef2cefba2315bb3b68531dc5dcb4a490a3a089fdceb6802c0198959c0e19.png</t>
  </si>
  <si>
    <t>bd41cbdc04707f80b319802470a1871b99d36766f9d020cc0f9a569a4d1bb54b</t>
  </si>
  <si>
    <t>1S8IidZBJdlNO4ibbK4dO4Gdioc0rdljb</t>
  </si>
  <si>
    <t>https://drive.google.com/uc?export=view&amp;id=1S8IidZBJdlNO4ibbK4dO4Gdioc0rdljb</t>
  </si>
  <si>
    <t>bd41cbdc04707f80b319802470a1871b99d36766f9d020cc0f9a569a4d1bb54b.png</t>
  </si>
  <si>
    <t>bd7739509fa70c858197ea24926c2c696b797f60240eac8fe389b1d67ce663be</t>
  </si>
  <si>
    <t>1UNQCPOeY7QTVny3Xtxah8qoWJZNxr0F9</t>
  </si>
  <si>
    <t>https://drive.google.com/uc?export=view&amp;id=1UNQCPOeY7QTVny3Xtxah8qoWJZNxr0F9</t>
  </si>
  <si>
    <t>bd7739509fa70c858197ea24926c2c696b797f60240eac8fe389b1d67ce663be.png</t>
  </si>
  <si>
    <t>bee686e3fcc9f3886386d09a5bbd6f4779d852c8bb282b0b6185be70704d9207</t>
  </si>
  <si>
    <t>1MRi8g6wye_7jVJR9_3De7oxESvwSgHoH</t>
  </si>
  <si>
    <t>https://drive.google.com/uc?export=view&amp;id=1MRi8g6wye_7jVJR9_3De7oxESvwSgHoH</t>
  </si>
  <si>
    <t>bee686e3fcc9f3886386d09a5bbd6f4779d852c8bb282b0b6185be70704d9207.png</t>
  </si>
  <si>
    <t>bfe01fd74f4a333b18002bc2d02ce800bee2e244cc59a5156ca3fcc5a0cdce00</t>
  </si>
  <si>
    <t>1lchBEfwdRE9lb6X5MnzB6mAqNOgcKZ8l</t>
  </si>
  <si>
    <t>https://drive.google.com/uc?export=view&amp;id=1lchBEfwdRE9lb6X5MnzB6mAqNOgcKZ8l</t>
  </si>
  <si>
    <t>bfe01fd74f4a333b18002bc2d02ce800bee2e244cc59a5156ca3fcc5a0cdce00.png</t>
  </si>
  <si>
    <t>c38594bec27d288cfe5bd031cde0cff4c46de188336f74ff3f79854c88c65b00</t>
  </si>
  <si>
    <t>1-UY3XmxPxEu1RihxL1MBINxruuhPpva7</t>
  </si>
  <si>
    <t>https://drive.google.com/uc?export=view&amp;id=1-UY3XmxPxEu1RihxL1MBINxruuhPpva7</t>
  </si>
  <si>
    <t>c38594bec27d288cfe5bd031cde0cff4c46de188336f74ff3f79854c88c65b00.png</t>
  </si>
  <si>
    <t>c547e37e3c5d2add9a3cb5fdeecfbc779e0ee9d6a7dbb489c799cc94e7b9abd2</t>
  </si>
  <si>
    <t>1hwYPQ_dUxpBrB02ZBkyNCfRjvDmGJRZZ</t>
  </si>
  <si>
    <t>https://drive.google.com/uc?export=view&amp;id=1hwYPQ_dUxpBrB02ZBkyNCfRjvDmGJRZZ</t>
  </si>
  <si>
    <t>c547e37e3c5d2add9a3cb5fdeecfbc779e0ee9d6a7dbb489c799cc94e7b9abd2.png</t>
  </si>
  <si>
    <t>c6b3efc496c7eabd69a2596c96fb7bacc652d49811a4be0df0bb37196a37ea02</t>
  </si>
  <si>
    <t>1tRwhAije6NsZlNRB2MNS1iJeADpNxhlR</t>
  </si>
  <si>
    <t>https://drive.google.com/uc?export=view&amp;id=1tRwhAije6NsZlNRB2MNS1iJeADpNxhlR</t>
  </si>
  <si>
    <t>c6b3efc496c7eabd69a2596c96fb7bacc652d49811a4be0df0bb37196a37ea02.png</t>
  </si>
  <si>
    <t>c8d01afd1e4a742fb48896441f92f6f4f1c21f02b0059b58f21e1c6efb099eb2</t>
  </si>
  <si>
    <t>1C30CoYtZ8BIgj3VfmW8KGu86ehY8hm69</t>
  </si>
  <si>
    <t>https://drive.google.com/uc?export=view&amp;id=1C30CoYtZ8BIgj3VfmW8KGu86ehY8hm69</t>
  </si>
  <si>
    <t>c8d01afd1e4a742fb48896441f92f6f4f1c21f02b0059b58f21e1c6efb099eb2.png</t>
  </si>
  <si>
    <t>ca1b7797566e850c3e583a2fbda610a51d5504ca9b0d611a0a3e2770c912d52d</t>
  </si>
  <si>
    <t>1kGDURubbZnMQBffB5PB9_0yLDQAf-JuI</t>
  </si>
  <si>
    <t>https://drive.google.com/uc?export=view&amp;id=1kGDURubbZnMQBffB5PB9_0yLDQAf-JuI</t>
  </si>
  <si>
    <t>ca1b7797566e850c3e583a2fbda610a51d5504ca9b0d611a0a3e2770c912d52d.png</t>
  </si>
  <si>
    <t>cbdbb864a7b15c5903aa09adff018a3d184f25c250b86926a5bc3fd9d9169037</t>
  </si>
  <si>
    <t>1GAdl7zAz7C9SRN3ySP31KMtm7V9vgwLT</t>
  </si>
  <si>
    <t>https://drive.google.com/uc?export=view&amp;id=1GAdl7zAz7C9SRN3ySP31KMtm7V9vgwLT</t>
  </si>
  <si>
    <t>cbdbb864a7b15c5903aa09adff018a3d184f25c250b86926a5bc3fd9d9169037.png</t>
  </si>
  <si>
    <t>cec0a384f41fb2446aff0043657c7e32479dd58e701084dde0bcc28f161aa2b1</t>
  </si>
  <si>
    <t>108qZFHc4ZfjmsfaXMOJv4JCpCL6e9ore</t>
  </si>
  <si>
    <t>https://drive.google.com/uc?export=view&amp;id=108qZFHc4ZfjmsfaXMOJv4JCpCL6e9ore</t>
  </si>
  <si>
    <t>cec0a384f41fb2446aff0043657c7e32479dd58e701084dde0bcc28f161aa2b1.png</t>
  </si>
  <si>
    <t>cef23c3f251969f778435219b38afa60f2e41b3927e82fa6d43de8c59f93f883</t>
  </si>
  <si>
    <t>1WdtTR31fXRtucZnquOmGJxOxjA5V3_kV</t>
  </si>
  <si>
    <t>https://drive.google.com/uc?export=view&amp;id=1WdtTR31fXRtucZnquOmGJxOxjA5V3_kV</t>
  </si>
  <si>
    <t>cef23c3f251969f778435219b38afa60f2e41b3927e82fa6d43de8c59f93f883.png</t>
  </si>
  <si>
    <t>cf13a4b65841c7dceb8412708517c5be0cdedb328ac511655c4a95ee813d548b</t>
  </si>
  <si>
    <t>1TgnYoAzhn1GWS6pzSB1zMGaAI-2cg_R7</t>
  </si>
  <si>
    <t>https://drive.google.com/uc?export=view&amp;id=1TgnYoAzhn1GWS6pzSB1zMGaAI-2cg_R7</t>
  </si>
  <si>
    <t>cf13a4b65841c7dceb8412708517c5be0cdedb328ac511655c4a95ee813d548b.png</t>
  </si>
  <si>
    <t>d24b87329bb09b449a89676a4e96858c289cdfad521c03fb9ce166a83aceb603</t>
  </si>
  <si>
    <t>1sORU1zJDu870Wyh-nPPQG2k2DAIZyL0g</t>
  </si>
  <si>
    <t>https://drive.google.com/uc?export=view&amp;id=1sORU1zJDu870Wyh-nPPQG2k2DAIZyL0g</t>
  </si>
  <si>
    <t>d24b87329bb09b449a89676a4e96858c289cdfad521c03fb9ce166a83aceb603.png</t>
  </si>
  <si>
    <t>d3f0d126711eb978e948a2cbeb9c2b2b0ffa79541fe717c41575d91f5e21aa61</t>
  </si>
  <si>
    <t>1MTqZ_Nj9mqeIvE4nfpYwBKqEgrJh2DBJ</t>
  </si>
  <si>
    <t>https://drive.google.com/uc?export=view&amp;id=1MTqZ_Nj9mqeIvE4nfpYwBKqEgrJh2DBJ</t>
  </si>
  <si>
    <t>d3f0d126711eb978e948a2cbeb9c2b2b0ffa79541fe717c41575d91f5e21aa61.png</t>
  </si>
  <si>
    <t>d46637522853433efdf1806e2e5336c312d5ba0ff0a32b80468e96b8abf11c04</t>
  </si>
  <si>
    <t>1KfztLZV8rNLHJh4oyRV-QKcKVuelFzW-</t>
  </si>
  <si>
    <t>https://drive.google.com/uc?export=view&amp;id=1KfztLZV8rNLHJh4oyRV-QKcKVuelFzW-</t>
  </si>
  <si>
    <t>d46637522853433efdf1806e2e5336c312d5ba0ff0a32b80468e96b8abf11c04.png</t>
  </si>
  <si>
    <t>d87811d4a1e9ba86c382fda19de6f7d1ad04b42f8c0dceeb81cd7cafc1008ed8</t>
  </si>
  <si>
    <t>1KhS4FL8JsEv2UlIy1-QxU2hKaazyQlvh</t>
  </si>
  <si>
    <t>https://drive.google.com/uc?export=view&amp;id=1KhS4FL8JsEv2UlIy1-QxU2hKaazyQlvh</t>
  </si>
  <si>
    <t>d87811d4a1e9ba86c382fda19de6f7d1ad04b42f8c0dceeb81cd7cafc1008ed8.png</t>
  </si>
  <si>
    <t>d9381190f981d16a88149206249465bb181ce58d6359562dea944f4d477363e3</t>
  </si>
  <si>
    <t>1sy69csSjy5xCN92K8KoMsM7RxATl_3g2</t>
  </si>
  <si>
    <t>https://drive.google.com/uc?export=view&amp;id=1sy69csSjy5xCN92K8KoMsM7RxATl_3g2</t>
  </si>
  <si>
    <t>d9381190f981d16a88149206249465bb181ce58d6359562dea944f4d477363e3.png</t>
  </si>
  <si>
    <t>d981675479ab443031cba32f40c3dca9e031547c59346a4c0ea7c624c054d936</t>
  </si>
  <si>
    <t>18xY08YjkO7BwXUwMHGkVPzUC0ijZJoeA</t>
  </si>
  <si>
    <t>https://drive.google.com/uc?export=view&amp;id=18xY08YjkO7BwXUwMHGkVPzUC0ijZJoeA</t>
  </si>
  <si>
    <t>d981675479ab443031cba32f40c3dca9e031547c59346a4c0ea7c624c054d936.png</t>
  </si>
  <si>
    <t>db2e162c7c1734ed5a58abc1706b9efbbdadbd2ba5f77bea6911a1aabd5e0831</t>
  </si>
  <si>
    <t>1hOEpmHONP2yIGJi8RQ9sw2-xFMqPGK99</t>
  </si>
  <si>
    <t>https://drive.google.com/uc?export=view&amp;id=1hOEpmHONP2yIGJi8RQ9sw2-xFMqPGK99</t>
  </si>
  <si>
    <t>db2e162c7c1734ed5a58abc1706b9efbbdadbd2ba5f77bea6911a1aabd5e0831.png</t>
  </si>
  <si>
    <t>de14d69ecb05cea275dcf6a7cb707626315f3e81931958d7d7b15131368cf4d6</t>
  </si>
  <si>
    <t>1TNicVcDBPpQ5xDCkYAVQ4E2TAO8xmaj9</t>
  </si>
  <si>
    <t>https://drive.google.com/uc?export=view&amp;id=1TNicVcDBPpQ5xDCkYAVQ4E2TAO8xmaj9</t>
  </si>
  <si>
    <t>de14d69ecb05cea275dcf6a7cb707626315f3e81931958d7d7b15131368cf4d6.png</t>
  </si>
  <si>
    <t>e3d00c0bcfea6e4a68c5c4842d0bedac5e761cfa5be62ec60aae839f44a7f555</t>
  </si>
  <si>
    <t>180mkIQ0YjuGihxCSvGEvDyHVl6FCIznz</t>
  </si>
  <si>
    <t>https://drive.google.com/uc?export=view&amp;id=180mkIQ0YjuGihxCSvGEvDyHVl6FCIznz</t>
  </si>
  <si>
    <t>e3d00c0bcfea6e4a68c5c4842d0bedac5e761cfa5be62ec60aae839f44a7f555.png</t>
  </si>
  <si>
    <t>e4022e6c05adb71c27444306f992d913c4d37cdbf63bf704fadfdddd56b65831</t>
  </si>
  <si>
    <t>1OFfC2-PtY0j7kXcJ5W4BtAMnx2E_udx_</t>
  </si>
  <si>
    <t>https://drive.google.com/uc?export=view&amp;id=1OFfC2-PtY0j7kXcJ5W4BtAMnx2E_udx_</t>
  </si>
  <si>
    <t>e4022e6c05adb71c27444306f992d913c4d37cdbf63bf704fadfdddd56b65831.png</t>
  </si>
  <si>
    <t>e4380b18857e28837873b807b4ee2bee2e199a3536f56fb56fb5949de4c17a77</t>
  </si>
  <si>
    <t>1_oD6aK6IksPVXg22N9sJlLTyjkXLLHvw</t>
  </si>
  <si>
    <t>https://drive.google.com/uc?export=view&amp;id=1_oD6aK6IksPVXg22N9sJlLTyjkXLLHvw</t>
  </si>
  <si>
    <t>e4380b18857e28837873b807b4ee2bee2e199a3536f56fb56fb5949de4c17a77.png</t>
  </si>
  <si>
    <t>e7da0da09cd3de7d6414a439154f40924d0533b799648184fa85baef339710ba</t>
  </si>
  <si>
    <t>125_nAfUpJXegSZXCFIdOgjW4FGvd8If2</t>
  </si>
  <si>
    <t>https://drive.google.com/uc?export=view&amp;id=125_nAfUpJXegSZXCFIdOgjW4FGvd8If2</t>
  </si>
  <si>
    <t>e7da0da09cd3de7d6414a439154f40924d0533b799648184fa85baef339710ba.png</t>
  </si>
  <si>
    <t>ea47fdcc277117bd663900f36ab09bad41ea1af083ccbc63647b5838e1056ebc</t>
  </si>
  <si>
    <t>1OQPxunuXyzoladj358gyA0J7cWj8hKOD</t>
  </si>
  <si>
    <t>https://drive.google.com/uc?export=view&amp;id=1OQPxunuXyzoladj358gyA0J7cWj8hKOD</t>
  </si>
  <si>
    <t>ea47fdcc277117bd663900f36ab09bad41ea1af083ccbc63647b5838e1056ebc.png</t>
  </si>
  <si>
    <t>eefcecf5c7183df8d369a35df238dd9fd990564264dcadc7bafacbafbef888ac</t>
  </si>
  <si>
    <t>1zb7Gup7u9pFEDt1cEnqPsl8ulJT5zHn6</t>
  </si>
  <si>
    <t>https://drive.google.com/uc?export=view&amp;id=1zb7Gup7u9pFEDt1cEnqPsl8ulJT5zHn6</t>
  </si>
  <si>
    <t>eefcecf5c7183df8d369a35df238dd9fd990564264dcadc7bafacbafbef888ac.png</t>
  </si>
  <si>
    <t>effa5fafd71a87510e477792561dc4c6a0d7a624d93f5ee78db77ac7c2a41d63</t>
  </si>
  <si>
    <t>1isZEKwNFFweK3HMuzMmCh3shsBfefpR8</t>
  </si>
  <si>
    <t>https://drive.google.com/uc?export=view&amp;id=1isZEKwNFFweK3HMuzMmCh3shsBfefpR8</t>
  </si>
  <si>
    <t>effa5fafd71a87510e477792561dc4c6a0d7a624d93f5ee78db77ac7c2a41d63.png</t>
  </si>
  <si>
    <t>f1adcb66d665ecba393da1490aca01e322bebd658ae2ef41aadee9ec7106def2</t>
  </si>
  <si>
    <t>1C5WPu8QW-emy4CZ7AbRJR9rKC321-hll</t>
  </si>
  <si>
    <t>https://drive.google.com/uc?export=view&amp;id=1C5WPu8QW-emy4CZ7AbRJR9rKC321-hll</t>
  </si>
  <si>
    <t>f1adcb66d665ecba393da1490aca01e322bebd658ae2ef41aadee9ec7106def2.png</t>
  </si>
  <si>
    <t>f3f68937b7087b8fa82118be631d144b10b8c5391b8a16f2affa093c1957edb1</t>
  </si>
  <si>
    <t>1sPLSIKtMGx75GVGMsWwMS_eu6bHQcLWe</t>
  </si>
  <si>
    <t>https://drive.google.com/uc?export=view&amp;id=1sPLSIKtMGx75GVGMsWwMS_eu6bHQcLWe</t>
  </si>
  <si>
    <t>f3f68937b7087b8fa82118be631d144b10b8c5391b8a16f2affa093c1957edb1.png</t>
  </si>
  <si>
    <t>f421319a6d338f4c75d9ce493c2ab35aa31da5115a045fb9149446903d5f1141</t>
  </si>
  <si>
    <t>1trC62vdzPddnMpL0UAFUe_LRPWRyOdF_</t>
  </si>
  <si>
    <t>https://drive.google.com/uc?export=view&amp;id=1trC62vdzPddnMpL0UAFUe_LRPWRyOdF_</t>
  </si>
  <si>
    <t>f421319a6d338f4c75d9ce493c2ab35aa31da5115a045fb9149446903d5f1141.png</t>
  </si>
  <si>
    <t>f837bce807410ac6f8b52fcee81a1ffaa2d7f77755861f2e6f2b482bff0f6fe9</t>
  </si>
  <si>
    <t>1LrDT_B5n3TrJX6r80Y5MKlIlLuqx-0dJ</t>
  </si>
  <si>
    <t>https://drive.google.com/uc?export=view&amp;id=1LrDT_B5n3TrJX6r80Y5MKlIlLuqx-0dJ</t>
  </si>
  <si>
    <t>f837bce807410ac6f8b52fcee81a1ffaa2d7f77755861f2e6f2b482bff0f6fe9.png</t>
  </si>
  <si>
    <t>f8461dec16e4e6cc62d1cadd424373bdf634bdc01764d3df74cd9fff9658baff</t>
  </si>
  <si>
    <t>1qt6B8KGvC4D5dtRoo9pSR4zz1t91Sacf</t>
  </si>
  <si>
    <t>https://drive.google.com/uc?export=view&amp;id=1qt6B8KGvC4D5dtRoo9pSR4zz1t91Sacf</t>
  </si>
  <si>
    <t>f8461dec16e4e6cc62d1cadd424373bdf634bdc01764d3df74cd9fff9658baff.png</t>
  </si>
  <si>
    <t>f8dac969c272aabb2ba0adebac1b711f0f174a8288053069be5391c65bb027c3</t>
  </si>
  <si>
    <t>11bSmQnG0pWzlGUN-uzyoucOGp1RQM1i2</t>
  </si>
  <si>
    <t>https://drive.google.com/uc?export=view&amp;id=11bSmQnG0pWzlGUN-uzyoucOGp1RQM1i2</t>
  </si>
  <si>
    <t>f8dac969c272aabb2ba0adebac1b711f0f174a8288053069be5391c65bb027c3.png</t>
  </si>
  <si>
    <t>fa7805c1d46ef49851de43750a665a993eef750b560159967106d3b96821759c</t>
  </si>
  <si>
    <t>18EQKY1CABCMU_wzKaB72FanwOpjvtdtR</t>
  </si>
  <si>
    <t>https://drive.google.com/uc?export=view&amp;id=18EQKY1CABCMU_wzKaB72FanwOpjvtdtR</t>
  </si>
  <si>
    <t>fa7805c1d46ef49851de43750a665a993eef750b560159967106d3b96821759c.png</t>
  </si>
  <si>
    <t>fcc829e7dd1db87335c46064982f06853c8a5c39399202b284952458b04f0d5d</t>
  </si>
  <si>
    <t>1ZS8pt0wCGELJlJna5e7vdqjcjwl3K5_F</t>
  </si>
  <si>
    <t>https://drive.google.com/uc?export=view&amp;id=1ZS8pt0wCGELJlJna5e7vdqjcjwl3K5_F</t>
  </si>
  <si>
    <t>fcc829e7dd1db87335c46064982f06853c8a5c39399202b284952458b04f0d5d.png</t>
  </si>
  <si>
    <t>fcf731e2be9a1377e7aed9c84be49e59ff2b3595fd86235d37d58011462b8fcf</t>
  </si>
  <si>
    <t>10G6upqIzq9Xdy9gjMaOJCahZ4-c6knX3</t>
  </si>
  <si>
    <t>https://drive.google.com/uc?export=view&amp;id=10G6upqIzq9Xdy9gjMaOJCahZ4-c6knX3</t>
  </si>
  <si>
    <t>fcf731e2be9a1377e7aed9c84be49e59ff2b3595fd86235d37d58011462b8fcf.png</t>
  </si>
  <si>
    <t>fe48d6db483ac4bd61b017d826272e803a5ba40fca9dcc14ce181a1331e1fa18</t>
  </si>
  <si>
    <t>1UBntaiZR0fVUj9bHthFJzqO6EB85R_xD</t>
  </si>
  <si>
    <t>https://drive.google.com/uc?export=view&amp;id=1UBntaiZR0fVUj9bHthFJzqO6EB85R_xD</t>
  </si>
  <si>
    <t>fe48d6db483ac4bd61b017d826272e803a5ba40fca9dcc14ce181a1331e1fa18.png</t>
  </si>
  <si>
    <t>X-Grade</t>
  </si>
  <si>
    <t>80b79645be384d8162597a76b28062cd35ea1019db9344ebd3f549d05246afa2</t>
  </si>
  <si>
    <t>f2c0c481d6d6af0b83c418cd9a25d31dc1ffd303019b7cff7adf84e88f578dcf</t>
  </si>
  <si>
    <t>c24802aafcbbb5d0d9f4ff58778800955e3c56280ac70345100d3a9a6ea2653f</t>
  </si>
  <si>
    <t>b83f22b6c073f282fc8e9556f47e3cb0ecb74d950973838f47c4837826ff08e0</t>
  </si>
  <si>
    <t>fa57bd66cb6354a6d8af1e7b47b28589e586bf1303a9080652bf2cfe6b9bbab4</t>
  </si>
  <si>
    <t>2b094c4248c216c84aca0e3dbdd79ba28f43b7e9912a7d2190688321f51e5a7a</t>
  </si>
  <si>
    <t>a50b5be5f4ff7ea94290013a66e36e6dea9aed76a2d5c4bef41e28b4ad4503ed</t>
  </si>
  <si>
    <t>f957373d2a222c4eb2d4a1ff4cb458e3bebf9e8e6e6d09515d4e23c376f39647</t>
  </si>
  <si>
    <t>3e88c0584a41035de2c85904f13d7e5f03eab562308106eb2d9c7d8d1d5f65fb</t>
  </si>
  <si>
    <t>9ecd8d14b33e6d7b4895b660bfc04f1b62dc5ff8d0361871658026089631b0f4</t>
  </si>
  <si>
    <t>ec1a874203c55517f71dfe34ba86744fb41138693a65832b20cfa6f533f75e09</t>
  </si>
  <si>
    <t>048fce7bd5670d2ce6215f41856aea059973fb280ce1067c7896d7e982dce89a</t>
  </si>
  <si>
    <t>c680435725f2cafc681abd19b42f002d0f35298c929bbd106403609fc6261bee</t>
  </si>
  <si>
    <t>f443bbd96f97f46715406d27b026e030447ad9e96d55300a62dcdb54bf95a4f3</t>
  </si>
  <si>
    <t>78b97b24e7b9929a2394388b957622713a424929419979469d005d10b34ed639</t>
  </si>
  <si>
    <t>b43a0433ebcd4615d10b350555c5aae6a34f0b8dd322cdf508fd58dd4ff0b5c5</t>
  </si>
  <si>
    <t>bd967167b9a70cc58353beeb439070461fdb8560c896ff070e6900aa37187d74</t>
  </si>
  <si>
    <t>b65b6d24572830c97c47256ad70692e4abc7c290ffa8cefe322be469accd8d5e</t>
  </si>
  <si>
    <t>c553dc3283c858d600428ab9da98653a77b7cd25b18d42f7e342f50e3dd2811d</t>
  </si>
  <si>
    <t>9fa16bb176ae097dc1ff36d812d98bec769aa6f3709545c752ce403e0d3acc40</t>
  </si>
  <si>
    <t>16d4c5bf7eb5f6e804de07bd9f16ac0c6242adaecf20fa778a69734dd8e8aba8</t>
  </si>
  <si>
    <t>a911b94c45c75c9742f985664b28a5e51c9562b9423efe24b3b1ea0da99ea920</t>
  </si>
  <si>
    <t>f9a459fa3ddd5b14d229dc44184452d5ad5700ded46bca132647340ff5778ab1</t>
  </si>
  <si>
    <t>2bd924c625258c3d7c9399287b1e634338d5a3d34d8b4c4793ba7b2d2568d386</t>
  </si>
  <si>
    <t>2ddee81d097f550d3cb4a5197f616502bbf5cba763db4afca0c88f9c6f6c355d</t>
  </si>
  <si>
    <t>d5b8de8db1cf22f45e0efd08dc7b38431edfdc53aca4038204460398cd6c21ee</t>
  </si>
  <si>
    <t>ff02364c8aab08a51916bd6a58bf7337b5d60939ee9b5381cce52e3ccbcd6b6d</t>
  </si>
  <si>
    <t>c7e19683c93c7fcbfab6f259ebe943a44204981dbf5af4dfc37ef26961758906</t>
  </si>
  <si>
    <t>62fcdb6ab7d866469212eb68cea38fd06fa6c92dc597ad7711f73cb039111976</t>
  </si>
  <si>
    <t>d86cb3d8304a2cede047c31ebe6619f33357872d26a21d1367318821e35e09cf</t>
  </si>
  <si>
    <t>2dea2a547b0c8f5941d4565073ac4423acfe59e2139b3d4ae5144ee135fa8eff</t>
  </si>
  <si>
    <t>a424f1f01cfab62373257c0cb81da9502e4d88af9bb5f68ac4794f8fef3c2b85</t>
  </si>
  <si>
    <t>598c03472e7a8089a50c5cf01bb63e48c05f1a79ee4898185c5f1ef294d8622a</t>
  </si>
  <si>
    <t>30c3cfd79bdbd5af40c1c98fdb35f86d4063932bb980ab41105faeb500bb7a59</t>
  </si>
  <si>
    <t>fd8111a7935742d5d198fb6ba2224bf1b772974b7c17e145837a4bc4512efe8a</t>
  </si>
  <si>
    <t>e50725c0eeae06d5084a25d7cae981462f08ed57e7e604cb824844793a5c6dcc</t>
  </si>
  <si>
    <t>54750e433d92006537b7a49eedc6002e0c97db298cb995f21f8746b7c79d43ce</t>
  </si>
  <si>
    <t>ca9dd71f2db93f715bbea6fdbd11e0cad4194d54c4763331bb82f561782a3159</t>
  </si>
  <si>
    <t>2845b5edd3c2b977894675d6c83996f92f5ac3cc4f0a61a494a34e8d8a99b774</t>
  </si>
  <si>
    <t>a5a72f3838b3d70874ac4a07223544c0dcfa9e2358c85d6b628f44940c1e3e92</t>
  </si>
  <si>
    <t>3a6fe01402333cdf3412fc08782a0ac13adeddf1953ee1df98fb770a0c2ca9ca</t>
  </si>
  <si>
    <t>0971feccb4757660518949d4320c4ef50975fc055f4083ae75dc9a362f5d8a46</t>
  </si>
  <si>
    <t>03000c72d4dd6a4be44ffc175dec5d9a15a83a2f8073b08b27be1fb7638cc466</t>
  </si>
  <si>
    <t>ec8e0696e80a8e8c45ebbecc3429597d81a3c106fd5939bc3ed685240ce84c8a</t>
  </si>
  <si>
    <t>2cb5647803ac30eb527cd977610f7ed1140e4488daddf7cdef80e3fd08b506e1</t>
  </si>
  <si>
    <t>00358c94503a8d9e6869efc6e5cdb0e1c8e9eb39b1fd4670206aa82503a575dc</t>
  </si>
  <si>
    <t>4897b70947bf82f7a5a3e217001e6be4a9b8bd7cea9711ec56500afa9a02a515</t>
  </si>
  <si>
    <t>a6a3c7cd213abce3011b8586afbd7b8153dd29aee2c2f52688ef8ef895eaabb0</t>
  </si>
  <si>
    <t>5ee88efb44a62c560639acbabf95fc60f46ad4f3f8aa6492729a4a5e0c610371</t>
  </si>
  <si>
    <t>e8fcb5c680b6bdab983fc8705cf4149d4ffc71e7e1d375ab38582c81a8a222dd</t>
  </si>
  <si>
    <t>5727fa1d0cb394af6963d460c256bc9fc3f351d90438650cb93aaedbad149274</t>
  </si>
  <si>
    <t>92e41e237eb721c0e2a38a12e0317eb406b0b8a6b26a4fe8e109279caaac26be</t>
  </si>
  <si>
    <t>4ed6385442789c13f187542a75c25ce22295ae4d5286d8bb321926accc327942</t>
  </si>
  <si>
    <t>84ef557b626c0d70750b521cf708dec0bf4f19ee66c40f0518a21c80864cb99e</t>
  </si>
  <si>
    <t>568755496a2b5ecc57c97f1ae8c52203ab643081ca1b008a1d43e66edfc75eea</t>
  </si>
  <si>
    <t>c4776c88a7dc61ac8c990cbf8584ae5b95963474d6a2ec981fa2b1d62aa40d40</t>
  </si>
  <si>
    <t>d7b242422be5e62a8d6759bbaa2dd788ef0a039847ba64911c3fff58025c8792</t>
  </si>
  <si>
    <t>87bc9471aaf330556f32e99fc91ca5c1d212e935de2fe03986332e62a7d3e179</t>
  </si>
  <si>
    <t>a3151bceaa87cb266eee2e026bb2770086f0767dc10aefbcd31cf526bf21ce24</t>
  </si>
  <si>
    <t>f4a36ebc5b628a049e769ccc2ae8e21a561ca689717f0b342b96c8ede09c0219</t>
  </si>
  <si>
    <t>832777ca15af30deab6512acb75b148fee8b049caabf9491352ba930951bbc99</t>
  </si>
  <si>
    <t>5952b6d60763e61ee8e276d8af7831dd8eef96984fecc19ca63005c0b71406b8</t>
  </si>
  <si>
    <t>6d1c41cdb7671eefe3cb4edcba409e21b0b5a8196f6ff13cae446850bd0983a1</t>
  </si>
  <si>
    <t>57c8de458e9794ddf8608ecaad5ef4caafb0bffa9309db4f1ffcba7d70494958</t>
  </si>
  <si>
    <t>1f0e4c406443bc8a01467fd0f5b45a0aa4e95fded6b2c5d85ac532727bfd3c6d</t>
  </si>
  <si>
    <t>3a1e59019ccaa8bc0f560a4042b1415d5fb7b0436c1f665d309b3f6cefea7d83</t>
  </si>
  <si>
    <t>adb9f7d3adbec0b1c145469d1272d3d68d27b0496351121d7f3edec48dffdb99</t>
  </si>
  <si>
    <t>6441cd44226ffccd5cda9825c82156f6989c0ac691ecbcdbb06ba44c2c03e0e4</t>
  </si>
  <si>
    <t>166572dff8d5aedada06bc75f068301e14a3c203b9fd850bf4606292acd135f5</t>
  </si>
  <si>
    <t>3139ea2a50e3a141080518e586ca669193eae16c2639b9e1b17b3fe42e21cfae</t>
  </si>
  <si>
    <t>21b2a371c603c1881c816d27fa28fb5d05088aa770b7fdc4d5a04492d93612c0</t>
  </si>
  <si>
    <t>bd5b4475ad702f1f3a58eaa229a8fa29ec0b6285a8be138c21f57edb3024b86d</t>
  </si>
  <si>
    <t>50e6842e7bfdeb000cb9754c8e940ff8d26e9c987b32fa9c765cd6f1c2a7df99</t>
  </si>
  <si>
    <t>bea1e98706cb0c098679e0e5aa145a97f9fd3d7921ca9758fd3b2a3cda16923b</t>
  </si>
  <si>
    <t>2464d583948e7369200abe0db2a33c62a383e9915104e6869b17f8f89244de0d</t>
  </si>
  <si>
    <t>35dc3b84aaff8203e801d6da20df9f8e2677abd0d623f5e4f5eecfe0f42d43fc</t>
  </si>
  <si>
    <t>c564abeebce244fd96023eb0bb99dbcdf4fdaea1d606463c3d4879e06a99dda6</t>
  </si>
  <si>
    <t>59743abb508a8061e5064ce47120200c86a3885ce2baf4214adc7128cba65113</t>
  </si>
  <si>
    <t>0ad1e8e19521af38467ce62dbba5cf3531f17875bc11e7aa53e1b8584ca1bc4f</t>
  </si>
  <si>
    <t>c55412dfec4229257b7e5b9f351aded8bf89457addeb8f6e6e349f74aee27674</t>
  </si>
  <si>
    <t>cdd0ad20946b8bdd886db177aea59e7b1770a2881dd8cbbcdb7dc5adcf5730e1</t>
  </si>
  <si>
    <t>1ff64286fcc902f2048b851d7b5ee3bbb7715d1802021574aaf5dfef71b68ae6</t>
  </si>
  <si>
    <t>f116832a0eb31d3cc89a5c4bba301d1a5758438ee1f1bd382fee9277a1fe6284</t>
  </si>
  <si>
    <t>55201ba1af31bded5fa75c43d04b75046f3a91a7c88d19ffb0c4497b4815a716</t>
  </si>
  <si>
    <t>e62fc7f4f92cd9a65e84bfe3c31f6e9bf117b4709067eac106b9715cb5f0fc02</t>
  </si>
  <si>
    <t>7c5b34dcc4ab16388cb8f7076fd575a78bf0eafe318b053da6af72fd244b8c24</t>
  </si>
  <si>
    <t>20300013d055d63c747accf06b9f7c94f8d736c3d5c89fe52b71857de90ecaaf</t>
  </si>
  <si>
    <t>8ef8c191f2e6996e5aa2061354fa9581dea5b5ea7334ecf8d7018db50eecfacb</t>
  </si>
  <si>
    <t>846245c30c8371ed901ad1856c2bf129e4824c6afec6a8aecfae1e7b49805594</t>
  </si>
  <si>
    <t>c80057fddc67ce687c85a006cf65e59346bc5059721fa241b2473a84301c2327</t>
  </si>
  <si>
    <t>09db7ba4c23b61069909ed92ec0cb34ff8e34868badc0a1a6bfdf336ce989511</t>
  </si>
  <si>
    <t>b0638251b9699e7b5a85e9527482039e03615390eeb70d93e7de298bfb0b8135</t>
  </si>
  <si>
    <t>138c4c9a5ae1f9ffc53e24e3083b2514b5d9aa6b12467d60b62c8929816e189f</t>
  </si>
  <si>
    <t>ca1ed2c1cad95f5fb926db06e52ebe6cec3f19485a7cf130b24dcfe1f2c26e24</t>
  </si>
  <si>
    <t>5076c7de3c667c84d2ca7fd969f9df9fd327dc2f1857e3d60625555a2e5440df</t>
  </si>
  <si>
    <t>79113765c9b7d68839422b6221d02fc97323ff61ac02e38fb1055b89962fb74a</t>
  </si>
  <si>
    <t>510dd42fcb5e39a40bf7110252cf9606a3a53c97cff32e2b5df43d5f8ad373fc</t>
  </si>
  <si>
    <t>04ed28ab2b2a010c686bf190a5f001dfdc7d9ec41859048d64d141b976f46d31</t>
  </si>
  <si>
    <t>3551a84cfdcf198093e6688149f7456eaa54bad8b74b878e984b0a7bf0859533</t>
  </si>
  <si>
    <t>21f4a3d24142021f5ac9990df481128a358c88afbe0e65bed2714e0d8ba741b7</t>
  </si>
  <si>
    <t>24ee79621dbf0eed211a4c01075637ff475e766822d52105aed6ef92d5ae81e7</t>
  </si>
  <si>
    <t>11d2c55502f841ac3d2c5c9d23348319d368e166d76af06498da4c4bd5ef7e83</t>
  </si>
  <si>
    <t>aef22050d9d0c9c04b31417e8d17415239847cd2b4f0b0010265a9a2261368eb</t>
  </si>
  <si>
    <t>5a1106a954a34a68d7655fd3114f0f8854501159f28c4c43d52ee69d2561f852</t>
  </si>
  <si>
    <t>f3d99c0db5449980ac699a2ef199f23eaff5c4808e5f5ec601922b62da939830</t>
  </si>
  <si>
    <t>2092db8fa7b1c7c1facd32157dc0deaddf316e12f67d5f4eddfb2135663c8ed4</t>
  </si>
  <si>
    <t>01e96e066eff2e82627dac0493737be2de9bd2f50d6d498bb6420906c7164c05</t>
  </si>
  <si>
    <t>f13ef30924d9e20a8f54dc58ad638694be404a98000c388cadb97d41fd18b15e</t>
  </si>
  <si>
    <t>6be598179d8e68ef732257b8de5f85523abc10ebe027a4a8501670b3e61490fc</t>
  </si>
  <si>
    <t>3568b95554d7b990289169b9eec3ab615228f845fcdf9cbd71bbb4994cd93a7e</t>
  </si>
  <si>
    <t>89514970e1e20297947c37a1755c21674098a34e20a2aae5995c7b8b4028859e</t>
  </si>
  <si>
    <t>f19c99fbe5a835630d6c1f9c0bd31609a99d100f3dcadeddc3473da0ee7a0205</t>
  </si>
  <si>
    <t>db91ad08a11ff41dfb6d61127b0d561b3ae0e5ed10395e6cb3f25372ebdd6d0b</t>
  </si>
  <si>
    <t>2d67f378787ef0d9249858e62cf661911d5eadf100662e2a590b8086d87b3518</t>
  </si>
  <si>
    <t>f4b74579b24f01184daa9edb1156247211fb4f6b67b8ec3b81814e8eeb8791fd</t>
  </si>
  <si>
    <t>814a76822c53611d1be66ef1f7a93c9a98a1a7d82e18234c0582a9a2040a319c</t>
  </si>
  <si>
    <t>257bcb82ac5a481a11654e40bf2a244aae7d108fd7b43545c8023b1289ffc718</t>
  </si>
  <si>
    <t>769d89fa68d5e578dd0f4592fc821f0f6abbaf1033147533ec0f6c4d8e6c6c2e</t>
  </si>
  <si>
    <t>6a0df1d84e433375ec7966810d37e6b3ce1d544a2c45f8e2723efbfe41a81185</t>
  </si>
  <si>
    <t>5d734055d34325b8555585971e61749072749fe0dd403b352327766c9565a3d4</t>
  </si>
  <si>
    <t>8c0906fd5efd19b24aa04cb58ff5d90de07a4507ab16207d901e51cec04e1d85</t>
  </si>
  <si>
    <t>a93225fd1f7ce130f94e7ab6e4784eeb6e080b9396bfb658085528b517e39757</t>
  </si>
  <si>
    <t>da2ab409e3aba646903b562a3345e2f8fff81667aaba3879a1155c38612e7ac9</t>
  </si>
  <si>
    <t>97b90813f7f65e2bc5da97e487ad3fdccd2c535dde981f56eb9fa65df89f09e1</t>
  </si>
  <si>
    <t>c340795ecfb6a9a8b2c5645fee8a298cf8b72faaffd737d7fe11880114eef4e5</t>
  </si>
  <si>
    <t>f44c5e0a30d5deb361269102ae90c47064e59c34af27b3dcc610c74ae5ad926e</t>
  </si>
  <si>
    <t>912cdef31b10a5d8886fedd1cb940e3a506126f7c11fbda7202c62b4edb1596b</t>
  </si>
  <si>
    <t>449937d5271942b2d0c07fc71449158bee6643ea7d7ac857b9830d6116b8a310</t>
  </si>
  <si>
    <t>0bbbf3e0b4f05fd3d09b737b923eaed3066fd9b00f5b6a037b3a6ab360dad66c</t>
  </si>
  <si>
    <t>41c3080c5f248cfc29a94b2c08f3bf85bd76feca895c6424fe528a4f32f68297</t>
  </si>
  <si>
    <t>cc85c37cc89ca6e99038e1f8bc4201ab2cb7573d16d73e5d3dbc97789d16b856</t>
  </si>
  <si>
    <t>9b01ed1b37bb289049750901e55a93a4f206af3b94ce505699381e0df2ca01b2</t>
  </si>
  <si>
    <t>fd928febd4e90f39aa15d8f4f70215bbc4e20e5c40d245628c6f8e73f7b4d16a</t>
  </si>
  <si>
    <t>9f9e98ca9eca96eb316a42c215c5d7391f7b544e2793176224f4fd0027fb9269</t>
  </si>
  <si>
    <t>14540c305603b931be46726208aae2f2bdde7974a4bab9ca6cbb345b571c959c</t>
  </si>
  <si>
    <t>6a5b01acb5938854fb9425824d8b66d0b236e11bcf8085e016fde962fa5a7366</t>
  </si>
  <si>
    <t>19700138aba73d2a48b106fe7c2d72ed0b8f228906e7f41e266664a91b451a54</t>
  </si>
  <si>
    <t>d6fcfbd13c5259904b825be40714b27269384a2e540184e009430238487e889c</t>
  </si>
  <si>
    <t>4084d3cef1c2290e1892fc32ffc6a6aa14c4d3fcc067a67710b66e7ef3acef0d</t>
  </si>
  <si>
    <t>d8a9220e637c9a7b377eabb60059a170c30384f5704c0e81a49f31788d470c98</t>
  </si>
  <si>
    <t>eb98b9223adb4684635bb18017ede6721bd5acf041aefea49eb611ab89c489ad</t>
  </si>
  <si>
    <t>c47ebe72dc3a2893a15174a6c093f4acad7a077df6fa698b3d4c316d8b2ab325</t>
  </si>
  <si>
    <t>2086b883938e4bc640227dc92935bcb8862c2fe6523a4cf6f5996fb761530d0b</t>
  </si>
  <si>
    <t>d3cb38860bb2775f1e807bfe8b1610f03016ac63c6b08977188c85ad3f979ceb</t>
  </si>
  <si>
    <t>de771b0a105c84a902ca9ac461758439ca7b838a2b95f6a13afad160a9d7fd39</t>
  </si>
  <si>
    <t>d7508e75bd7e54d88e3668085557bbbb459453ab26ec03646bafb7625075cd24</t>
  </si>
  <si>
    <t>65a2b2417007ae40ce1b56f68fdfdbd38e1d85021864f41e7b9ce18a9d40f17e</t>
  </si>
  <si>
    <t>4a444e27b858bf82025d0b344afbd88305265b408c399956e235cd17727db3b4</t>
  </si>
  <si>
    <t>2b0607c49f2d11be55e2e00304d8ac144a5900bb82d1b5d9b1a2405de57193d1</t>
  </si>
  <si>
    <t>5e343daf8dbc5830a280addbd51c369e21a7633c9818bffb3bd4fceaa6cd9b91</t>
  </si>
  <si>
    <t>dab25eed9d9d31a84b5f08cca8271deebaa1b69d2902cb2031ca82f985e09576</t>
  </si>
  <si>
    <t>33679030a680f82f27c52195f2df9309d0d846d440cc31ac591a01297bb9b6b1</t>
  </si>
  <si>
    <t>30aae560ce0a3972dc3f50351720e01b23781624046c4cc447523790793cdccd</t>
  </si>
  <si>
    <t>a559ffbbf797ae704128bdc877cc92716fb9da80d0c9f0ec6e42c23e4652d0f8</t>
  </si>
  <si>
    <t>117a01c81c6ec62f7b6d2b97ea41f349a1f2b57f713e3065c1576abab742ea46</t>
  </si>
  <si>
    <t>f429e88015e43d43626052e8601b4c7215afaf3f23181ed677fa698fbee2a91d</t>
  </si>
  <si>
    <t>58d15b072ff2a6593f6d28a2d335006deb119f7a88b83f0f04b913231aea4c14</t>
  </si>
  <si>
    <t>fabe1f519ce6f051ce768bda372a3e32059c13ea3f191380b04a004b83caa61b</t>
  </si>
  <si>
    <t>2c9fa506526e2b23545345c0a1efe9c815b2c429078b653fe4bea62113636a9b</t>
  </si>
  <si>
    <t>19b3277cda3fe10ec63ecd0517453b399e386ea3a475c891f3a2e7b55c246fba</t>
  </si>
  <si>
    <t>1a0e91f519c0393d7d327f110988b2358b5fb944149f79840d417a0d279a7033</t>
  </si>
  <si>
    <t>171bb8faae3a5b2d210aaf5d57da0ea8dee2d4d05d6760d33aac71861d9a1cc2</t>
  </si>
  <si>
    <t>dea7966ebd885a67ecc64194d61d09fed744b8619a5c553ca40c79205e3362b3</t>
  </si>
  <si>
    <t>e03561822ee2eb2da08d5f6f890830660cfd611e01677a2cf70b09fb6ff4673e</t>
  </si>
  <si>
    <t>c24628e0c17541c8eb1047d754441068030a058892e09b1e2281c6ab162a6252</t>
  </si>
  <si>
    <t>cd0612712f91182ead3aaf4339a2f2779c5bc8abb6c6336ed0a8c66530144b9c</t>
  </si>
  <si>
    <t>ff4cfd98fc176f36fa99b2bc839990d2fd13de4e59b5c4aed8f3ccb1962d249f</t>
  </si>
  <si>
    <t>4208d3bf74a956f3eae084d69b195b09a132a8b7ca3034e20a5968cd5069ca5a</t>
  </si>
  <si>
    <t>c96a5d8ae5170d9ab1ece6a261b881357860a04dc8d76bc2ca0619cc4d4787ea</t>
  </si>
  <si>
    <t>3dd595f1c364df95de6a2779dbdf8cb0c660db26823bfffc83262cab4f0bf48d</t>
  </si>
  <si>
    <t>269ff40c212993b357d07bfcee0ee3ef1b9c246c8088f739fc5d692625d0536b</t>
  </si>
  <si>
    <t>29a2de3c53a0710f4668b8f6124dba329a0a717b691cc03156a76febf4f5bacf</t>
  </si>
  <si>
    <t>a130e617c531c4fc301d851ec5e2c416924de5c393fd355aa4d1fd60886308f0</t>
  </si>
  <si>
    <t>d78fb37bf1fe8f75aac3574abb02a6af48c1e5de152a400b1fbf6e7237e7fa4a</t>
  </si>
  <si>
    <t>62387ab8fdba76cc516bdbbaca2765132990182f1d0464ae4ebbb4804d555c4e</t>
  </si>
  <si>
    <t>4a4ab02bfece06b8e9d88299cfff8b2df4c71cb1a3b77d327fbf01da0ecb4987</t>
  </si>
  <si>
    <t>74bd25fbd2615c3e3611fbf2a559a6eb770e9d846fffa3a31f9be97ce316864c</t>
  </si>
  <si>
    <t>e37bb12ed96a158b0a1050ba31f1b9c1fad4b32772f7ba057b96a6df90c2205c</t>
  </si>
  <si>
    <t>59f2772aca8841b648b639f06ea61c875e56429d850688ab68e3caa8a9ce9230</t>
  </si>
  <si>
    <t>4b36c56a1a588b01a543da0d4a8091b10ff3f5e1f4a8c4cb531405e51e47d23e</t>
  </si>
  <si>
    <t>cb9c781c1377cf1efb68cb9ed6a56076672fc54f47d35adda6a211d23655d118</t>
  </si>
  <si>
    <t>c60dc7a742e43b815ba4c4f14ae3efd67b9ffc810c971c92a48a3b3cbc6d5919</t>
  </si>
  <si>
    <t>f4d906c345eef030a0d881ef52bba910c24630febc66ea83ab51337796574ec8</t>
  </si>
  <si>
    <t>17111411f938d9a2cc954eeaa5a6f8d675929b11c07168f5d59a4e58fc140b48</t>
  </si>
  <si>
    <t>70c18da6f06c6019e8911fef1496654f45df0fdd83a53367b94f03f028e357de</t>
  </si>
  <si>
    <t>c7b796ac04b2f8db027f6a7f45dd803df85918a8b62494790efa974beaf3838c</t>
  </si>
  <si>
    <t>c7eebe4bcc4f85762fa3ddbb203411f48f8a0f05ed163ddb5e6c38e5f1d24531</t>
  </si>
  <si>
    <t>120c591b0e4c359e86472f0277aba65125a0e102b24630520b7670b9b7b1d9a5</t>
  </si>
  <si>
    <t>18cff3f609168fc4bf5e7df1869409cb4026387a8530d8bc522fdeba67576fb6</t>
  </si>
  <si>
    <t>ebb4be3fcc3b29c9cabf0007dfe142b7cdbcb54fda0e9950b7018ce04c4d692d</t>
  </si>
  <si>
    <t>2fb0f5c78100f8b718dc32b6582ef9e998b041716a0629e2917ac2c01c5a44e2</t>
  </si>
  <si>
    <t>8ee6af2e8d2b4ccf84705f72f9aee941ccc549586ada07edc240441026599eb1</t>
  </si>
  <si>
    <t>8e1d0f77637db1a526c5ea32811ac905bc0edf833f27383617d0e92137c311c8</t>
  </si>
  <si>
    <t>092f648c8f4deefbd5a15a17825410afefdde05a559fea8c487245797e3f3b27</t>
  </si>
  <si>
    <t>c225c8dca6a511c7d7cd7e90387054ff2eb038204ac60e3d886bfd9843c06434</t>
  </si>
  <si>
    <t>4c4aca72fe030fe5563fb249ce9152645d4e7a98f00fde37c62d7f0a4b78780d</t>
  </si>
  <si>
    <t>9807fe182f3dc6252a470df9020a7a9041c9c2c07a8b5c5f3f64fdee9b9db3c3</t>
  </si>
  <si>
    <t>94a080ccc68a9af23abc6e73036cdfbac704e4a51b312cab20a422e059196d14</t>
  </si>
  <si>
    <t>1403518ce5c6beb4b9b3ce77105c7fe32cd2520aed96f2124f56858098693244</t>
  </si>
  <si>
    <t>df5f291bbd4aec1a0eff72c784f64e101413d82f8609d68c713dd7e8be202316</t>
  </si>
  <si>
    <t>3f57d30cb362467414c813ee622bf15dbbd626b10fd86592199539611547cc5a</t>
  </si>
  <si>
    <t>6dfd9d97502d751109e542d97716cf9a38a444ec1e8cbf874c61db1d334fb231</t>
  </si>
  <si>
    <t>66315ff24583d48c4bc24a5d45d6cfcc13d6f6ff54c3f5ceb7db8694ae75c9d2</t>
  </si>
  <si>
    <t>599efafe1ee22c8ae0d531c08a7919660730bd5c7e5c055f926a492d0d32d15c</t>
  </si>
  <si>
    <t>f8bb8ac0d0154c94f2a489b32ef5035239939cede87f998e2599dba7fe378ab6</t>
  </si>
  <si>
    <t>d885bb7273fb4e746e84afc627f57884681464d304c0d487efee6b49df9620a2</t>
  </si>
  <si>
    <t>98e4c2dd19e0d5bb0d49167121617491082888de5c68db37eb6b6410c40e2d06</t>
  </si>
  <si>
    <t>e75e44aab1778ede624cb4eb316397c4e287b0f76299050d2ac110662629f77f</t>
  </si>
  <si>
    <t>938eb3a8b8482b9a5ea52ae013fff264dcb1b4c02a64ac9c39ce3c476be2ffce</t>
  </si>
  <si>
    <t>eeadbdae5c93dc632d3b4567ed3e770f164526a9d957a113e1aa07c1dca54f4c</t>
  </si>
  <si>
    <t>d0b78ae235e484b144a0b229ef70c8ac2fd796c86aa4d314c3a5bf393dc9ee11</t>
  </si>
  <si>
    <t>f0a761fb34823e9ac759ee98975c615eebf22a1745a01de4b26cdf5b1aab26af</t>
  </si>
  <si>
    <t>0d4ffc8959a9277ed564ffa0be4fa178fc778a551acea42c7b477a06545e5764</t>
  </si>
  <si>
    <t>2111bfba5699b3c98ce0857b7c6addbb85365d9d0e0ee156d5e6431ff5f5138e</t>
  </si>
  <si>
    <t>a1355ec991906ace648901e6fc977691e092d5f5dfebc678289c2a68e731c8d5</t>
  </si>
  <si>
    <t>98f2cbf89ca9e35caeba21247085fffbf9f2ba20ca1fb5eee71d97295acb384b</t>
  </si>
  <si>
    <t>488e7f64166c2e857c7a8c30c495984ba63faddc7646bebe0cac48319b6b4a17</t>
  </si>
  <si>
    <t>3e202088a0f6c909bd3cfe90eb3217d09828f13c78f9198e7ca8e9fd7c2346a1</t>
  </si>
  <si>
    <t>08f436c2b6962c5a4e083d443715d94da0d3a54c21d025783f5da882205b521a</t>
  </si>
  <si>
    <t>16f38c9409d1652e79f9e6bc1b17605416787f67c1a5822c984a63c21eabd743</t>
  </si>
  <si>
    <t>80cab1ce32c301533be0f55f91468a6bd0dc014abc98a56a4fb7f4828dbfe73f</t>
  </si>
  <si>
    <t>ced739e4e1a362fc62756d77256feff26dd7710998469ff13eb02104da2038d2</t>
  </si>
  <si>
    <t>e8f1be077a6689592c2f7fa35d56f723b873d6600bbe49eb04908770d9e783c1</t>
  </si>
  <si>
    <t>b6d1c1a2a9ceb6f2fe941cb2f5ce2a4c9f178b1f99e12966a31544030d689915</t>
  </si>
  <si>
    <t>8ef51b9a6ccf7c102010b64120f80a7e12e2c85e72d23bb6a5e7f17ea691093a</t>
  </si>
  <si>
    <t>7e617933097884285054b322c76d243d4a210695dcbfcaa83da337f15bac3b7e</t>
  </si>
  <si>
    <t>44f98305d8141153036b7a868b6d3e301a408c441ffb1e6b7540ac7771125e1d</t>
  </si>
  <si>
    <t>ffc3b91c3744d275e99f49e105f016732d694a76314d8cd50f25e49a0b67edc6</t>
  </si>
  <si>
    <t>9f4b5abbe2f093cb1d0bdedd6522643c44c7532ee6bb1b20f0b7d9b80adc140c</t>
  </si>
  <si>
    <t>8489b8668e001e627849ab14970d7c6debfe93d58351c826d6300c22114573c6</t>
  </si>
  <si>
    <t>d6420a4ee44bc345c7bf3a2efbab98e08a4727016df8e8d6bb8375d0a23a8c72</t>
  </si>
  <si>
    <t>807aa59e21f46f6ca52a49dbdc4ff1b58a9e238db54b494a63321654d158c0e9</t>
  </si>
  <si>
    <t>603b719e6471994bdf33806120a875c35f2e50eca461afc38d3349744fed1523</t>
  </si>
  <si>
    <t>b673e054a9c64d69cfb8dc56e028d129e4a5ed88dd2e6accf107182f7756c332</t>
  </si>
  <si>
    <t>3d3ce5a7f0af95c6a2b8bb6e20cd9f348a8fc9ebf70c178f44f77d7fd97f3988</t>
  </si>
  <si>
    <t>709635bebab736333367c7bca08fa9c12cf33c6b545144515f0a216431b46b5f</t>
  </si>
  <si>
    <t>db847180fec2988d054039d7d6565531195880d3918d6ee9402e335e6be9408d</t>
  </si>
  <si>
    <t>f355a2a07982341bcafda00ed2abb604504fdc5295686db581aa2070fb518b3e</t>
  </si>
  <si>
    <t>78d5895c4f5d7d4efde22983b4b710dbee0c928cbea6ae21affa0e925ac3df73</t>
  </si>
  <si>
    <t>dc9a34cf6e3874933863dbb1d060e9fad475adc9e0927a6d33e2452d1526125d</t>
  </si>
  <si>
    <t>2a8a36c089cd1496e33ac575235d75b159f8c3ee9aa282c2d6f360aa08cb6dd0</t>
  </si>
  <si>
    <t>5d8f70bd6845bb11e5e533b38a03d26b56f00096d8cec1c1411ac5b9c31b0ba4</t>
  </si>
  <si>
    <t>8eaeced73616477f79c100bb6c71bf34e2e292ae1320adc6620d98b7dd852c97</t>
  </si>
  <si>
    <t>4887493a4c162023900f9a757f005b44a190e6013e8cfe41fae1324ad26aff63</t>
  </si>
  <si>
    <t>350b154fe2ab6eab25424af7cf5dd0a2a324a7853b9b56c9792a7278eb102323</t>
  </si>
  <si>
    <t>090e9df6cea280094ad11cf71385d27c1badc3396add08ff163af9cab4184ff1</t>
  </si>
  <si>
    <t>e2c64c308270b70f26817bd91b48a6dc114f46bf34566ce6d3ec38d8052cb1ec</t>
  </si>
  <si>
    <t>ff86d28801139f82f29ac25c715647674d50977478b8d8469bb07a55cfafa043</t>
  </si>
  <si>
    <t>9d6a95a44978b54531ff886fbc804fd7fb16556610f5d7cda0e20841e8a6fc78</t>
  </si>
  <si>
    <t>dcc0e3c61cf760b864cace141492a9c0458a3af0e67f63a19c31875b5b777f07</t>
  </si>
  <si>
    <t>5bf51d9d557047465e7df540ed0bba927d10ca876cb6dea1ca203b3578e22749</t>
  </si>
  <si>
    <t>420ae6e6934b0e972b1be3faba699f2e7a920227c7947089f4e85b73f739c6c3</t>
  </si>
  <si>
    <t>bc936a5c28b8adc029346c5de72dd91b78f5101bda51d6631648d15e84d1bd23</t>
  </si>
  <si>
    <t>1c74dd0c87312999b28efb7af3aed752614eb8cc7e8fa5523e4f4441aaf4f64a</t>
  </si>
  <si>
    <t>f1c628caab4033afe87dd9b46443ae53b44ca1fc35dc6268f423531d02dcb0ab</t>
  </si>
  <si>
    <t>0461c96c9cc0058f709704605f24136f373ba4e9ac083a1157d0976f1b6e8419</t>
  </si>
  <si>
    <t>c80ce14c9557948735506042bc724190d056b1ab66b5dac4e2ae3c87b31ca0b1</t>
  </si>
  <si>
    <t>f70822cd6df70ca803faab8f3ced1db0f050468f31dcfedc1a20ad578382da45</t>
  </si>
  <si>
    <t>097f7a6103e61039a9dadac5e7d7eb65aa451121de8b30ad2a147c5aafb440c7</t>
  </si>
  <si>
    <t>efc39ac763d948ff0a93ddc34ad240851cb48f1fcf52de934697aeb78d033071</t>
  </si>
  <si>
    <t>fa02750bf6f9eb536fbbeade8fe7bbc22648f59dabe562a4e32b8a58c4d3d1ff</t>
  </si>
  <si>
    <t>5876d6b16f56408be737f35e84f06d5ece4d77728aec511387189fcaf90ab8e6</t>
  </si>
  <si>
    <t>c58e4714a03093fccf1fd914aff61ef2d0b0c24eea4a89635b5f8d74953c6058</t>
  </si>
  <si>
    <t>8ca014518f3c9f5207cbf67c729fda24fd56bfe6808d113f96c6138757784b77</t>
  </si>
  <si>
    <t>60b6b4248d890504734beb13a2cc6574d9d4dc7bae94c84898d2a83ad80d68af</t>
  </si>
  <si>
    <t>b7214630d2a3008ffaeaefb61f0c42181fe57bbda882a201339a668d02eae47c</t>
  </si>
  <si>
    <t>2a50ac545f30b02200c4f18f694ce7e0ce691e9f509c38d8beebf3b4dd046b53</t>
  </si>
  <si>
    <t>f4972b61ad2f1c8822cfb700c14259accc67203e071bfe0ab462fa45013214d5</t>
  </si>
  <si>
    <t>31b69aaaba9a335ba0261babc8396d24d0af8f580d5f6192e6040ad649c78593</t>
  </si>
  <si>
    <t>d274893c31d10ef0bc342e59f149963ffff586f70cbf6c8b59325bf97415f62e</t>
  </si>
  <si>
    <t>9c1ee8df1c0a91f0259f13024069c7fd8d7601df3b4b305f358bd8ce161aedb2</t>
  </si>
  <si>
    <t>4b0e6319833596d58072abae8af94102ae54198c1385145eede5e55b2e94ae8a</t>
  </si>
  <si>
    <t>f0ad6b55a43d50cd0b3fa2f6750275e11cc44176cc9984200f6d6ff6a3c5631f</t>
  </si>
  <si>
    <t>690ef8482b21fa77fdf533db95daa5559db82ef7106ee5514dd0cbff9efeb769</t>
  </si>
  <si>
    <t>78ef135cef6cb29d44b91beb545a2a78dbdbc0a981735bad98640318a1b80b9b</t>
  </si>
  <si>
    <t>4b9d476385096c42149ad8a1b35edf317f99c9d61ffc348d8950ab0c31cf543f</t>
  </si>
  <si>
    <t>a1a4b0c316442b879083c61343bcb56ce2233230e64fc4f874ec0f232b2aea68</t>
  </si>
  <si>
    <t>0abe1b008e37697d60391129deac748704d6105881949c60dff38453777ffb43</t>
  </si>
  <si>
    <t>f2b2d2b023f71e791c2644201fa62b2dcf6c78d7402d774a552d5b7b20f02ad3</t>
  </si>
  <si>
    <t>e20c996edc342b0e8fe4abe8a1b4373ae040e36b367cf6188e43d04950b7f6c6</t>
  </si>
  <si>
    <t>4d34572db62871b8fed75a40eaf827867044b536a795be11eac1a1ac78c909b7</t>
  </si>
  <si>
    <t>a5f6e28cca214fb60a873fd4b27ea02bbef08b5bde05f4ba831b790a54a2435c</t>
  </si>
  <si>
    <t>5d9f9703addb3ca96358f6e54fc8e93cbbd462e886cef2d450e4edd2e53367fb</t>
  </si>
  <si>
    <t>dfafe84b27c1097ac79831f5ee8fcb79c84bd2079709c327141de09549db4d73</t>
  </si>
  <si>
    <t>5cf32f9151895f7869e8af1d91c81444a0d3157ad5f4484dcbcab8a29d6bc6ac</t>
  </si>
  <si>
    <t>4433080be68eabdd338bda9c8c30bee3fc1f696b6212f13bcb77721e1d738c7a</t>
  </si>
  <si>
    <t>fd3422d11e9fdacf030f74df8a97aef973337371c49d6746fa29e06a4e54888b</t>
  </si>
  <si>
    <t>39c6aa59ad63e9299ccc79651cdfdb45b84559308e246d42dd9c0afe04931d3b</t>
  </si>
  <si>
    <t>bfed65e0ee3b331187d31bd503dcbad42f17bf749b37c34f64cf8bbc3007073c</t>
  </si>
  <si>
    <t>798001d1fa1a0831f5bca0b644c70c03a31b7491cb51bf0c872a470ba434c8de</t>
  </si>
  <si>
    <t>dea69a3afb734ba56e0465a463c3c6c5cd4c852cb165c1dd960ba91a4038a53d</t>
  </si>
  <si>
    <t>10e19a731f11c88176364d6ac435b630c522b5acbb234bb07adccf8efd540b9c</t>
  </si>
  <si>
    <t>3dfcfacbb1498f304ff7e39552626c8b5578a4d4ec265756b2b5db6b7083fcfd</t>
  </si>
  <si>
    <t>5a8bbd7a0887dfcfee9cd1f97e7ba9e568741cb632f3121b5b7d4f3e90e85b79</t>
  </si>
  <si>
    <t>a5cbc7664ddb2af6fbcdae5b4477be47e3b3ebdf327bd9626ee1a972eab6fb26</t>
  </si>
  <si>
    <t>a4961676983a10f9ed67219d049b3165dcde4dd74aa3594f3e8fa2abcc32426d</t>
  </si>
  <si>
    <t>c220777a3969d97f8c08265becbb6fcd9bddfab7c48456e450fed01101f16a76</t>
  </si>
  <si>
    <t>e9ef91d2836a3d6a880c71604dda2bc5cf97836539864ee1a7da3221c3843df7</t>
  </si>
  <si>
    <t>bc62c7cd2cb19dae74f15b14964b6eb3942104662a21d5ba91eac861ea67bbe2</t>
  </si>
  <si>
    <t>720652a25d4ab67f2e7d9fa3b13023e92f3f21024e2157034de2773d5583053d</t>
  </si>
  <si>
    <t>45c08529fc638c300feeb27a726d997626694ac3793087acc34e51f0a6e170e8</t>
  </si>
  <si>
    <t>d74ad8f7c64819b319003126f9a7d68263aff159db0388c359cfbfb46e263e96</t>
  </si>
  <si>
    <t>896ba209d8b0c5cdfdacb8b2d45dae08ba41a114dde0bc6ac633dd8a772d66f3</t>
  </si>
  <si>
    <t>72912d3e1bed520f38d91a588343df13dface79dc26911a4541d894d69c1a6a7</t>
  </si>
  <si>
    <t>5a703f620dbab029a3ac801c3fc85ef4327a5f0a751b852f650bf14b9b44459b</t>
  </si>
  <si>
    <t>75de81c20d6f96afffc7becf1d76612842635a9c70167b482e233540738a97e5</t>
  </si>
  <si>
    <t>4b9647fd16286b9d48f8957d016408d48324837a2dc4726070225737e5764791</t>
  </si>
  <si>
    <t>7e93bf8ba9708c55865983f7a83a39ac766ee84bccbb1df4d9f9a37e7b3bdb43</t>
  </si>
  <si>
    <t>1274deb6dd5637d775d619b4b2449b40dd2179007cb88f0e36b1ccf91f18dd6e</t>
  </si>
  <si>
    <t>15c5366a784c8d6598742c335e8b43b08f1942248cfd1c1ca6dd8bca414aac97</t>
  </si>
  <si>
    <t>164d9a5499b7224c7fcbed2f0b76c8041bd544beb86187837dbc3837a78506ea</t>
  </si>
  <si>
    <t>c92956e2fca1ca7ed686bda9b6fc3d11a9e75795107d24b4df9333b5818c4b5a</t>
  </si>
  <si>
    <t>a6f99abe2d52a509eb868425a9083db9a1f0c168236d30acbc9c1af82bee2e3f</t>
  </si>
  <si>
    <t>2ffb606aea8bd4eef9727bf7981c9005a53d3cf6e71d9728f4b1b857bf402e9a</t>
  </si>
  <si>
    <t>31b11d75b4a9a6d590424f3421ca62cccd2f2cd81855c0851712ce03213627ac</t>
  </si>
  <si>
    <t>0d38364f7e61ffa23af02082de12cb8c5786cddea6f83ae2156aa0cb41ec5509</t>
  </si>
  <si>
    <t>07c8b5fb98feb87d3ee0c873b94852d521cf159de84010db6455466d6e6b52cf</t>
  </si>
  <si>
    <t>7a6026fd215e0059f3d620352b64b05a944244be51bbf22adc94eab05648a6d9</t>
  </si>
  <si>
    <t>a10a30e09a154b3836e02982d35e6ed375b3e7b28b0b9c3be317078823e0645a</t>
  </si>
  <si>
    <t>1ec64cfe094fceca729f1241b83dde22ed39131b6494448919af8cb2308cc0f3</t>
  </si>
  <si>
    <t>c8f2ba8a3b50884964255d406a7f4c232ec3efe6c021514cd273a4c1726dbfd2</t>
  </si>
  <si>
    <t>b38b4152f7aa7e5d4cc14966d15e1671b57bc61845d758b5ad3992d783cff806</t>
  </si>
  <si>
    <t>2b3914caff931aa5015d0eb4aaafd67d3bdfdd372af2fba048c8bacd98896fdc</t>
  </si>
  <si>
    <t>a0d71096e1d00f354dc73285a2857d8c102850e4ded62fb515f6d2a857e2d8b9</t>
  </si>
  <si>
    <t>5f1183e16dafd122ced695b93e88ae02e9f396ed43ba8fd6ec0dbd993eaf8521</t>
  </si>
  <si>
    <t>3e5bc8253fdf89efe4e527be1f12228e3c08f488ddcb89fca66342206d94c21d</t>
  </si>
  <si>
    <t>d1d635ae1d95cf0b57cba7b6bff6d45b693428120d558da8747c3a0887190d23</t>
  </si>
  <si>
    <t>f0dced10510747eeee05ecf186c421f025d256f9870b17e7fb2335463ae079ac</t>
  </si>
  <si>
    <t>47d6fa4dc8d5f007836a2fefd0f13ee0525a09ff49264081f042460c2d34939f</t>
  </si>
  <si>
    <t>321ceeadc24ba2a88fba401927295f3c972429fcf3873d45a5cd9134279987cb</t>
  </si>
  <si>
    <t>b2a86b80a5c45b9984072faf901f8f575e7c2884dc2188e770a0dfbb1677011c</t>
  </si>
  <si>
    <t>9c8737c4d7c6be323f9cca6d673c3b7bdc7c6ed14bf93f7028c4794a90dd2d2b</t>
  </si>
  <si>
    <t>9d0ab0bd68f282cccbcc15239cb561b3eb795501fa9b5ada282ba9ef66d11c06</t>
  </si>
  <si>
    <t>014604ba54339d4b1266cf78e125053a5ac11dd861ef3cc0b4ed777ed0e2af0a</t>
  </si>
  <si>
    <t>be42cc28c4a3e5675539645ce90caa0d1a62b727d8ff787c2a55738108e24067</t>
  </si>
  <si>
    <t>4e1fbe2dc68185ae4dfd0ce8f794b4018f88602a9dcfe0567a1f4b28bff1110a</t>
  </si>
  <si>
    <t>24dcd2add1dae7e58c63cdb26cee768e08c609bab1b2e74f9872a8b1ecf5a87c</t>
  </si>
  <si>
    <t>aacfa383279c3315e3ceca1c24001612eae1e4b1a43330f2fa02fd448184748a</t>
  </si>
  <si>
    <t>15e7a100916541060e16055751255f31e525b2bc2efcedc3081955d8aa18193b</t>
  </si>
  <si>
    <t>f760a203bac325e547a23dd4a2f26a4109aadbeb44408262aea01f937e3a397e</t>
  </si>
  <si>
    <t>072db31ce670255297c5d67fd00068faf81a7f50223b5a5af0f555aa69815fe0</t>
  </si>
  <si>
    <t>0c65552abe0d2731c2f0bcde5e3885e7b364b17ae9396a91fbf7d3970ce00378</t>
  </si>
  <si>
    <t>831b82415f26f781c76d0c7427052516715d67868ec0faeaeffbb459f438c040</t>
  </si>
  <si>
    <t>f9a8ea52803b55fada3310dd43a447a99dc03507c2607b06de916f5141da831a</t>
  </si>
  <si>
    <t>91f4b01a80c26aa9a1fb14e48590dc76c949dc800166da4e8c7f86d5085b9a8c</t>
  </si>
  <si>
    <t>3cb67a933d12398e70b2725fb801a8834eecdf236a06ce510c4b0fc9332ed37e</t>
  </si>
  <si>
    <t>4b8100007af443512c1dd509a1342436f9b963be101587975be2764314d0ca68</t>
  </si>
  <si>
    <t>f90a856f26ac85aa8d9964fd692f94ca3c196fb21ffb78ddc64c384f19de95d9</t>
  </si>
  <si>
    <t>8b18f5693d6822beefe70802cad008f0b0232654ea218fbce90ad8d6631c3a74</t>
  </si>
  <si>
    <t>d948777e9b3046b61a365c5cff2d3b1ad308bfb4d2ee0854558617ca8eeac395</t>
  </si>
  <si>
    <t>a760753ae6f157dc0a1ec4605604231d91dcf2e1ef4470ca3dbbe91cbb24c044</t>
  </si>
  <si>
    <t>44d672753c127edb16541ef7388a9308087224b97a2e63469e3c0dbb93da30e8</t>
  </si>
  <si>
    <t>d36a68faa57e320ce1eaff6a6def575a5337ee480ceab78d2bfc79c986e31760</t>
  </si>
  <si>
    <t>8e3904b8617f72128e381f7c47cffbfcce6e89ae1d265cef9d41361539b6d930</t>
  </si>
  <si>
    <t>8c47875987c7407e6f060ddc413ab2f1ec8b5473085578e448ad4e40fa5a8864</t>
  </si>
  <si>
    <t>9374207ccca084d388afce33e317d946326f30de271a7aeb78dcdac9c272a2b7</t>
  </si>
  <si>
    <t>a8fe4ea49ae559b638cbfe1199ef8800b747a66a58a1bc39cb10c8ed4508944a</t>
  </si>
  <si>
    <t>8ca8b188568d5d438d080b69a0b279aeaa39c96bd88d60119842f9a6b609c421</t>
  </si>
  <si>
    <t>fbb2114bce5532072b39ce9c805ea99509830cc0c4c36b58ea813398307284ed</t>
  </si>
  <si>
    <t>314e5c52ec835e5c1b1832b3e1a51d45713ba0307bd9ca8fb86cb95e7ddcafe0</t>
  </si>
  <si>
    <t>71bee40f7f97afa9b8cf069df923fa444e07b495f1736e1f9e23863fd894297c</t>
  </si>
  <si>
    <t>9de214703fa773e7cec3011c821477e05e32c1c3d4eab44ec9b842eb71efab53</t>
  </si>
  <si>
    <t>88004885e79469596988ec6d6e8061843d12c39516326f4366b93059bf2e5e19</t>
  </si>
  <si>
    <t>c602660fc0ddd630f6a203a3d61742439eb7d3c4c33d31ccb57e410bbb67e844</t>
  </si>
  <si>
    <t>775c788e8a2f5f576ff0ee9289715b7dee98ea7c23ae8479ecb0461c09d5c0ff</t>
  </si>
  <si>
    <t>bc1fc1980b744f6ddef463c42fe1a38facfc6bab71fd00d339b19943d55c3136</t>
  </si>
  <si>
    <t>783d2e787e0734118d21fb09957c03c8ccc292d3cd70fb690faa98f6a6cc9739</t>
  </si>
  <si>
    <t>511425f1125b98b09c7b636c27a56b0be1fff185717d5233144fd02ddf0cddab</t>
  </si>
  <si>
    <t>4aec718f8185e90a5b0cf97a85857e677103220e78b5ed3c18da8b1e16d40b95</t>
  </si>
  <si>
    <t>79a7e9a5c619f2779d2e17ca557372d9f837457160fccee08e7c0ff5f851de9a</t>
  </si>
  <si>
    <t>c3b000875e19cdb87af3a1f4f1201b93b27c421f93754d5944e248f626e555e8</t>
  </si>
  <si>
    <t>f933272f6c291384b9d3d937a7fb4122ebf5a47fd9362ef3b8f6213f2b0660dc</t>
  </si>
  <si>
    <t>fe545219144abfb405c64d3fed4f32dc348ece7afb0a814e646ef2f17e69bc7d</t>
  </si>
  <si>
    <t>98d77a2b714b28f705c31ae807ec9dc0e2e5415b10f7bd6f8791f061b9508e83</t>
  </si>
  <si>
    <t>6269c7359593be379dd4d205e5a26a060242995f18689f94d78d85120725e51f</t>
  </si>
  <si>
    <t>ErrorQuotient</t>
  </si>
  <si>
    <t>CompileCount</t>
  </si>
  <si>
    <t>SessionCount</t>
  </si>
  <si>
    <t>CompileSuccessRate</t>
  </si>
  <si>
    <t>FracLong</t>
  </si>
  <si>
    <t>MeanTestScore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</si>
</sst>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ptos Narrow"/>
    </font>
    <font>
      <b/>
      <sz val="11.0"/>
      <color theme="1"/>
      <name val="Calibri"/>
    </font>
    <font>
      <sz val="11.0"/>
      <color rgb="FF000000"/>
      <name val="Calibri"/>
    </font>
    <font>
      <u/>
      <color rgb="FF0000FF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readingOrder="0"/>
    </xf>
    <xf borderId="1" fillId="2" fontId="5" numFmtId="2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9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hWyNPvVA0wxsjDZThVlXPWPGLRQ6aDOo" TargetMode="External"/><Relationship Id="rId42" Type="http://schemas.openxmlformats.org/officeDocument/2006/relationships/hyperlink" Target="https://drive.google.com/uc?export=view&amp;id=1R7muAS7VYcQoOla3ePjUl2qd10sPRFs2" TargetMode="External"/><Relationship Id="rId41" Type="http://schemas.openxmlformats.org/officeDocument/2006/relationships/hyperlink" Target="https://drive.google.com/uc?export=view&amp;id=1USaItoX-BQ80z_wNRZ1QDfKFac8RIleI" TargetMode="External"/><Relationship Id="rId44" Type="http://schemas.openxmlformats.org/officeDocument/2006/relationships/hyperlink" Target="https://drive.google.com/uc?export=view&amp;id=1wtiKQdmQbJ-E2kanCE1bWpVidTz6k8yK" TargetMode="External"/><Relationship Id="rId43" Type="http://schemas.openxmlformats.org/officeDocument/2006/relationships/hyperlink" Target="https://drive.google.com/uc?export=view&amp;id=1x-L9XHxf_0kh1A_mrVkE0dlKeyNsKgTS" TargetMode="External"/><Relationship Id="rId46" Type="http://schemas.openxmlformats.org/officeDocument/2006/relationships/hyperlink" Target="https://drive.google.com/uc?export=view&amp;id=1AaldctBMFq5f772W-98vle90hOUkR-5F" TargetMode="External"/><Relationship Id="rId45" Type="http://schemas.openxmlformats.org/officeDocument/2006/relationships/hyperlink" Target="https://drive.google.com/uc?export=view&amp;id=1HV2JGLQV-mnF6Tp3rWmXyzAlEBxWPxir" TargetMode="External"/><Relationship Id="rId107" Type="http://schemas.openxmlformats.org/officeDocument/2006/relationships/hyperlink" Target="https://drive.google.com/uc?export=view&amp;id=1sORU1zJDu870Wyh-nPPQG2k2DAIZyL0g" TargetMode="External"/><Relationship Id="rId106" Type="http://schemas.openxmlformats.org/officeDocument/2006/relationships/hyperlink" Target="https://drive.google.com/uc?export=view&amp;id=1TgnYoAzhn1GWS6pzSB1zMGaAI-2cg_R7" TargetMode="External"/><Relationship Id="rId105" Type="http://schemas.openxmlformats.org/officeDocument/2006/relationships/hyperlink" Target="https://drive.google.com/uc?export=view&amp;id=1WdtTR31fXRtucZnquOmGJxOxjA5V3_kV" TargetMode="External"/><Relationship Id="rId104" Type="http://schemas.openxmlformats.org/officeDocument/2006/relationships/hyperlink" Target="https://drive.google.com/uc?export=view&amp;id=108qZFHc4ZfjmsfaXMOJv4JCpCL6e9ore" TargetMode="External"/><Relationship Id="rId109" Type="http://schemas.openxmlformats.org/officeDocument/2006/relationships/hyperlink" Target="https://drive.google.com/uc?export=view&amp;id=1KfztLZV8rNLHJh4oyRV-QKcKVuelFzW-" TargetMode="External"/><Relationship Id="rId108" Type="http://schemas.openxmlformats.org/officeDocument/2006/relationships/hyperlink" Target="https://drive.google.com/uc?export=view&amp;id=1MTqZ_Nj9mqeIvE4nfpYwBKqEgrJh2DBJ" TargetMode="External"/><Relationship Id="rId48" Type="http://schemas.openxmlformats.org/officeDocument/2006/relationships/hyperlink" Target="https://drive.google.com/uc?export=view&amp;id=1BrFR-IgTLzgT1wITEtGasX_gQpbjEH5r" TargetMode="External"/><Relationship Id="rId47" Type="http://schemas.openxmlformats.org/officeDocument/2006/relationships/hyperlink" Target="https://drive.google.com/uc?export=view&amp;id=1dG--sOmJ0umUjJWtFC_lEiS1CwFlsu57" TargetMode="External"/><Relationship Id="rId49" Type="http://schemas.openxmlformats.org/officeDocument/2006/relationships/hyperlink" Target="https://drive.google.com/uc?export=view&amp;id=1kLx9ggx_Krl9CN7Q88-rIczxgrgrA_5O" TargetMode="External"/><Relationship Id="rId103" Type="http://schemas.openxmlformats.org/officeDocument/2006/relationships/hyperlink" Target="https://drive.google.com/uc?export=view&amp;id=1GAdl7zAz7C9SRN3ySP31KMtm7V9vgwLT" TargetMode="External"/><Relationship Id="rId102" Type="http://schemas.openxmlformats.org/officeDocument/2006/relationships/hyperlink" Target="https://drive.google.com/uc?export=view&amp;id=1kGDURubbZnMQBffB5PB9_0yLDQAf-JuI" TargetMode="External"/><Relationship Id="rId101" Type="http://schemas.openxmlformats.org/officeDocument/2006/relationships/hyperlink" Target="https://drive.google.com/uc?export=view&amp;id=1C30CoYtZ8BIgj3VfmW8KGu86ehY8hm69" TargetMode="External"/><Relationship Id="rId100" Type="http://schemas.openxmlformats.org/officeDocument/2006/relationships/hyperlink" Target="https://drive.google.com/uc?export=view&amp;id=1tRwhAije6NsZlNRB2MNS1iJeADpNxhlR" TargetMode="External"/><Relationship Id="rId31" Type="http://schemas.openxmlformats.org/officeDocument/2006/relationships/hyperlink" Target="https://drive.google.com/uc?export=view&amp;id=10n7uGJKsxa7H38YTGZbMaGPJLLB1KnUg" TargetMode="External"/><Relationship Id="rId30" Type="http://schemas.openxmlformats.org/officeDocument/2006/relationships/hyperlink" Target="https://drive.google.com/uc?export=view&amp;id=1FqHI3Fq25wkts8Z4WtJCdNTLMhtr0Lnu" TargetMode="External"/><Relationship Id="rId33" Type="http://schemas.openxmlformats.org/officeDocument/2006/relationships/hyperlink" Target="https://drive.google.com/uc?export=view&amp;id=1-wmBBtdLSFewLnjp5Llf4TlVViqUSIu8" TargetMode="External"/><Relationship Id="rId32" Type="http://schemas.openxmlformats.org/officeDocument/2006/relationships/hyperlink" Target="https://drive.google.com/uc?export=view&amp;id=1Sd5yz_i_HruDxUoeK0cKmkHGQWQ9MaSe" TargetMode="External"/><Relationship Id="rId35" Type="http://schemas.openxmlformats.org/officeDocument/2006/relationships/hyperlink" Target="https://drive.google.com/uc?export=view&amp;id=1nxwPD6l19H9RfD1beYZagQq6RADqS3hg" TargetMode="External"/><Relationship Id="rId34" Type="http://schemas.openxmlformats.org/officeDocument/2006/relationships/hyperlink" Target="https://drive.google.com/uc?export=view&amp;id=1Kscqr5nCPSEQRRULICFx3A9qxuG_41NW" TargetMode="External"/><Relationship Id="rId37" Type="http://schemas.openxmlformats.org/officeDocument/2006/relationships/hyperlink" Target="https://drive.google.com/uc?export=view&amp;id=1-YWQEw-ntfurCrSZ4yEJEYBolKn2c3Yp" TargetMode="External"/><Relationship Id="rId36" Type="http://schemas.openxmlformats.org/officeDocument/2006/relationships/hyperlink" Target="https://drive.google.com/uc?export=view&amp;id=14xCI4jAQbPhylo07sHgW9d88P3mmmfAq" TargetMode="External"/><Relationship Id="rId39" Type="http://schemas.openxmlformats.org/officeDocument/2006/relationships/hyperlink" Target="https://drive.google.com/uc?export=view&amp;id=1VqAurQtPwqQfvLkXhDcl_r4MbtoeyO8k" TargetMode="External"/><Relationship Id="rId38" Type="http://schemas.openxmlformats.org/officeDocument/2006/relationships/hyperlink" Target="https://drive.google.com/uc?export=view&amp;id=1SgSDsUM_bSFsvK6JNJ2IU_rXxNOXvQrk" TargetMode="External"/><Relationship Id="rId20" Type="http://schemas.openxmlformats.org/officeDocument/2006/relationships/hyperlink" Target="https://drive.google.com/uc?export=view&amp;id=144AJqTuMMv0ZKkig6o_ZIYpFg8LOuj0e" TargetMode="External"/><Relationship Id="rId22" Type="http://schemas.openxmlformats.org/officeDocument/2006/relationships/hyperlink" Target="https://drive.google.com/uc?export=view&amp;id=1Z4DIsPVzsVnApF2scNzN8DPqpN1MfTI3" TargetMode="External"/><Relationship Id="rId21" Type="http://schemas.openxmlformats.org/officeDocument/2006/relationships/hyperlink" Target="https://drive.google.com/uc?export=view&amp;id=1r6fTNtFvRptovcIH_T05QD_kSo7PHoUB" TargetMode="External"/><Relationship Id="rId24" Type="http://schemas.openxmlformats.org/officeDocument/2006/relationships/hyperlink" Target="https://drive.google.com/uc?export=view&amp;id=1dzXAtkCKzRhScU7sPg31ATEeip_3pFQD" TargetMode="External"/><Relationship Id="rId23" Type="http://schemas.openxmlformats.org/officeDocument/2006/relationships/hyperlink" Target="https://drive.google.com/uc?export=view&amp;id=1rVVzscQ4uR7h1vj5LsSX0k6UWmcpZvJx" TargetMode="External"/><Relationship Id="rId129" Type="http://schemas.openxmlformats.org/officeDocument/2006/relationships/hyperlink" Target="https://drive.google.com/uc?export=view&amp;id=1ZS8pt0wCGELJlJna5e7vdqjcjwl3K5_F" TargetMode="External"/><Relationship Id="rId128" Type="http://schemas.openxmlformats.org/officeDocument/2006/relationships/hyperlink" Target="https://drive.google.com/uc?export=view&amp;id=18EQKY1CABCMU_wzKaB72FanwOpjvtdtR" TargetMode="External"/><Relationship Id="rId127" Type="http://schemas.openxmlformats.org/officeDocument/2006/relationships/hyperlink" Target="https://drive.google.com/uc?export=view&amp;id=11bSmQnG0pWzlGUN-uzyoucOGp1RQM1i2" TargetMode="External"/><Relationship Id="rId126" Type="http://schemas.openxmlformats.org/officeDocument/2006/relationships/hyperlink" Target="https://drive.google.com/uc?export=view&amp;id=1qt6B8KGvC4D5dtRoo9pSR4zz1t91Sacf" TargetMode="External"/><Relationship Id="rId26" Type="http://schemas.openxmlformats.org/officeDocument/2006/relationships/hyperlink" Target="https://drive.google.com/uc?export=view&amp;id=1LD8hExy8sh2GKLZzwzxMhCm6fNLF0Mm9" TargetMode="External"/><Relationship Id="rId121" Type="http://schemas.openxmlformats.org/officeDocument/2006/relationships/hyperlink" Target="https://drive.google.com/uc?export=view&amp;id=1isZEKwNFFweK3HMuzMmCh3shsBfefpR8" TargetMode="External"/><Relationship Id="rId25" Type="http://schemas.openxmlformats.org/officeDocument/2006/relationships/hyperlink" Target="https://drive.google.com/uc?export=view&amp;id=1ihKteDW_BL-vTqx9j_r_iJ1dQiwf1fth" TargetMode="External"/><Relationship Id="rId120" Type="http://schemas.openxmlformats.org/officeDocument/2006/relationships/hyperlink" Target="https://drive.google.com/uc?export=view&amp;id=1zb7Gup7u9pFEDt1cEnqPsl8ulJT5zHn6" TargetMode="External"/><Relationship Id="rId28" Type="http://schemas.openxmlformats.org/officeDocument/2006/relationships/hyperlink" Target="https://drive.google.com/uc?export=view&amp;id=1_HJYcYRx_KlTTKC-NIq-gg2b_VPp2e0h" TargetMode="External"/><Relationship Id="rId27" Type="http://schemas.openxmlformats.org/officeDocument/2006/relationships/hyperlink" Target="https://drive.google.com/uc?export=view&amp;id=1vpczQ1s_q5qk6jstHxFCSRctjJPmK1dt" TargetMode="External"/><Relationship Id="rId125" Type="http://schemas.openxmlformats.org/officeDocument/2006/relationships/hyperlink" Target="https://drive.google.com/uc?export=view&amp;id=1LrDT_B5n3TrJX6r80Y5MKlIlLuqx-0dJ" TargetMode="External"/><Relationship Id="rId29" Type="http://schemas.openxmlformats.org/officeDocument/2006/relationships/hyperlink" Target="https://drive.google.com/uc?export=view&amp;id=1ja8oi67QySbQ4FLFohsXiSwauivGpqro" TargetMode="External"/><Relationship Id="rId124" Type="http://schemas.openxmlformats.org/officeDocument/2006/relationships/hyperlink" Target="https://drive.google.com/uc?export=view&amp;id=1trC62vdzPddnMpL0UAFUe_LRPWRyOdF_" TargetMode="External"/><Relationship Id="rId123" Type="http://schemas.openxmlformats.org/officeDocument/2006/relationships/hyperlink" Target="https://drive.google.com/uc?export=view&amp;id=1sPLSIKtMGx75GVGMsWwMS_eu6bHQcLWe" TargetMode="External"/><Relationship Id="rId122" Type="http://schemas.openxmlformats.org/officeDocument/2006/relationships/hyperlink" Target="https://drive.google.com/uc?export=view&amp;id=1C5WPu8QW-emy4CZ7AbRJR9rKC321-hll" TargetMode="External"/><Relationship Id="rId95" Type="http://schemas.openxmlformats.org/officeDocument/2006/relationships/hyperlink" Target="https://drive.google.com/uc?export=view&amp;id=1UNQCPOeY7QTVny3Xtxah8qoWJZNxr0F9" TargetMode="External"/><Relationship Id="rId94" Type="http://schemas.openxmlformats.org/officeDocument/2006/relationships/hyperlink" Target="https://drive.google.com/uc?export=view&amp;id=1S8IidZBJdlNO4ibbK4dO4Gdioc0rdljb" TargetMode="External"/><Relationship Id="rId97" Type="http://schemas.openxmlformats.org/officeDocument/2006/relationships/hyperlink" Target="https://drive.google.com/uc?export=view&amp;id=1lchBEfwdRE9lb6X5MnzB6mAqNOgcKZ8l" TargetMode="External"/><Relationship Id="rId96" Type="http://schemas.openxmlformats.org/officeDocument/2006/relationships/hyperlink" Target="https://drive.google.com/uc?export=view&amp;id=1MRi8g6wye_7jVJR9_3De7oxESvwSgHoH" TargetMode="External"/><Relationship Id="rId11" Type="http://schemas.openxmlformats.org/officeDocument/2006/relationships/hyperlink" Target="https://drive.google.com/uc?export=view&amp;id=1VQkWbGoDtVwfSjgSid6KysDJ0WS6qX1q" TargetMode="External"/><Relationship Id="rId99" Type="http://schemas.openxmlformats.org/officeDocument/2006/relationships/hyperlink" Target="https://drive.google.com/uc?export=view&amp;id=1hwYPQ_dUxpBrB02ZBkyNCfRjvDmGJRZZ" TargetMode="External"/><Relationship Id="rId10" Type="http://schemas.openxmlformats.org/officeDocument/2006/relationships/hyperlink" Target="https://drive.google.com/uc?export=view&amp;id=1AnmwvJ-MlOSJeUWbNoxheVtFxTpSig8v" TargetMode="External"/><Relationship Id="rId98" Type="http://schemas.openxmlformats.org/officeDocument/2006/relationships/hyperlink" Target="https://drive.google.com/uc?export=view&amp;id=1-UY3XmxPxEu1RihxL1MBINxruuhPpva7" TargetMode="External"/><Relationship Id="rId13" Type="http://schemas.openxmlformats.org/officeDocument/2006/relationships/hyperlink" Target="https://drive.google.com/uc?export=view&amp;id=10_wKn7e2W2rSFVjPyMqCRwB5NwCGArCX" TargetMode="External"/><Relationship Id="rId12" Type="http://schemas.openxmlformats.org/officeDocument/2006/relationships/hyperlink" Target="https://drive.google.com/uc?export=view&amp;id=1XG9Y_vhZ8dfJjVRTzJkR4T1t2-OBWp6z" TargetMode="External"/><Relationship Id="rId91" Type="http://schemas.openxmlformats.org/officeDocument/2006/relationships/hyperlink" Target="https://drive.google.com/uc?export=view&amp;id=1vcDXNmIRfpjCkH8mB1l4VGSAWZQ-235f" TargetMode="External"/><Relationship Id="rId90" Type="http://schemas.openxmlformats.org/officeDocument/2006/relationships/hyperlink" Target="https://drive.google.com/uc?export=view&amp;id=1nZ7KjaIM3yzNGcxNK_SJHBvC9VK4ldUk" TargetMode="External"/><Relationship Id="rId93" Type="http://schemas.openxmlformats.org/officeDocument/2006/relationships/hyperlink" Target="https://drive.google.com/uc?export=view&amp;id=1MKIKgdPRsQtU1eZxstZo_pymUpDRYYIE" TargetMode="External"/><Relationship Id="rId92" Type="http://schemas.openxmlformats.org/officeDocument/2006/relationships/hyperlink" Target="https://drive.google.com/uc?export=view&amp;id=1f5efNff1_VHTdnWGHBb9oyiD9DHu-nDA" TargetMode="External"/><Relationship Id="rId118" Type="http://schemas.openxmlformats.org/officeDocument/2006/relationships/hyperlink" Target="https://drive.google.com/uc?export=view&amp;id=125_nAfUpJXegSZXCFIdOgjW4FGvd8If2" TargetMode="External"/><Relationship Id="rId117" Type="http://schemas.openxmlformats.org/officeDocument/2006/relationships/hyperlink" Target="https://drive.google.com/uc?export=view&amp;id=1_oD6aK6IksPVXg22N9sJlLTyjkXLLHvw" TargetMode="External"/><Relationship Id="rId116" Type="http://schemas.openxmlformats.org/officeDocument/2006/relationships/hyperlink" Target="https://drive.google.com/uc?export=view&amp;id=1OFfC2-PtY0j7kXcJ5W4BtAMnx2E_udx_" TargetMode="External"/><Relationship Id="rId115" Type="http://schemas.openxmlformats.org/officeDocument/2006/relationships/hyperlink" Target="https://drive.google.com/uc?export=view&amp;id=180mkIQ0YjuGihxCSvGEvDyHVl6FCIznz" TargetMode="External"/><Relationship Id="rId119" Type="http://schemas.openxmlformats.org/officeDocument/2006/relationships/hyperlink" Target="https://drive.google.com/uc?export=view&amp;id=1OQPxunuXyzoladj358gyA0J7cWj8hKOD" TargetMode="External"/><Relationship Id="rId15" Type="http://schemas.openxmlformats.org/officeDocument/2006/relationships/hyperlink" Target="https://drive.google.com/uc?export=view&amp;id=1Ora42oQeqLNaKmQYAyoyT9JzVzNvA2rw" TargetMode="External"/><Relationship Id="rId110" Type="http://schemas.openxmlformats.org/officeDocument/2006/relationships/hyperlink" Target="https://drive.google.com/uc?export=view&amp;id=1KhS4FL8JsEv2UlIy1-QxU2hKaazyQlvh" TargetMode="External"/><Relationship Id="rId14" Type="http://schemas.openxmlformats.org/officeDocument/2006/relationships/hyperlink" Target="https://drive.google.com/uc?export=view&amp;id=1kLhHhAEVsaNyDWLI8-TIdFpBxf8alHnq" TargetMode="External"/><Relationship Id="rId17" Type="http://schemas.openxmlformats.org/officeDocument/2006/relationships/hyperlink" Target="https://drive.google.com/uc?export=view&amp;id=1poUyOxCa1XHz3bTp_wJ8ean8DWsozfq2" TargetMode="External"/><Relationship Id="rId16" Type="http://schemas.openxmlformats.org/officeDocument/2006/relationships/hyperlink" Target="https://drive.google.com/uc?export=view&amp;id=1sE8VnB4wfIBeDUzJe64rSZ2Cc4frwYje" TargetMode="External"/><Relationship Id="rId19" Type="http://schemas.openxmlformats.org/officeDocument/2006/relationships/hyperlink" Target="https://drive.google.com/uc?export=view&amp;id=1ObwCQOYT1i0ZAwHaeevv91bgqr5Tnfg-" TargetMode="External"/><Relationship Id="rId114" Type="http://schemas.openxmlformats.org/officeDocument/2006/relationships/hyperlink" Target="https://drive.google.com/uc?export=view&amp;id=1TNicVcDBPpQ5xDCkYAVQ4E2TAO8xmaj9" TargetMode="External"/><Relationship Id="rId18" Type="http://schemas.openxmlformats.org/officeDocument/2006/relationships/hyperlink" Target="https://drive.google.com/uc?export=view&amp;id=1S4ZDsbNQVPEouk9hQ77am7X4TK8WvTpo" TargetMode="External"/><Relationship Id="rId113" Type="http://schemas.openxmlformats.org/officeDocument/2006/relationships/hyperlink" Target="https://drive.google.com/uc?export=view&amp;id=1hOEpmHONP2yIGJi8RQ9sw2-xFMqPGK99" TargetMode="External"/><Relationship Id="rId112" Type="http://schemas.openxmlformats.org/officeDocument/2006/relationships/hyperlink" Target="https://drive.google.com/uc?export=view&amp;id=18xY08YjkO7BwXUwMHGkVPzUC0ijZJoeA" TargetMode="External"/><Relationship Id="rId111" Type="http://schemas.openxmlformats.org/officeDocument/2006/relationships/hyperlink" Target="https://drive.google.com/uc?export=view&amp;id=1sy69csSjy5xCN92K8KoMsM7RxATl_3g2" TargetMode="External"/><Relationship Id="rId84" Type="http://schemas.openxmlformats.org/officeDocument/2006/relationships/hyperlink" Target="https://drive.google.com/uc?export=view&amp;id=1sYKlfjPAzIf7pKZldzOcRdd8zRu1lGqC" TargetMode="External"/><Relationship Id="rId83" Type="http://schemas.openxmlformats.org/officeDocument/2006/relationships/hyperlink" Target="https://drive.google.com/uc?export=view&amp;id=1T0BXBVd2WEA0rN6Nsr040TtJHURtL0se" TargetMode="External"/><Relationship Id="rId86" Type="http://schemas.openxmlformats.org/officeDocument/2006/relationships/hyperlink" Target="https://drive.google.com/uc?export=view&amp;id=1boprvg52jz6DUjrhMm3fTaAr8Ssf99vW" TargetMode="External"/><Relationship Id="rId85" Type="http://schemas.openxmlformats.org/officeDocument/2006/relationships/hyperlink" Target="https://drive.google.com/uc?export=view&amp;id=1rsDtebJyUsc44D4azSN_1tatCsc4z1dx" TargetMode="External"/><Relationship Id="rId88" Type="http://schemas.openxmlformats.org/officeDocument/2006/relationships/hyperlink" Target="https://drive.google.com/uc?export=view&amp;id=1VL4c-d4O-yiBWWNmldRSJBMlKzGmetZ8" TargetMode="External"/><Relationship Id="rId87" Type="http://schemas.openxmlformats.org/officeDocument/2006/relationships/hyperlink" Target="https://drive.google.com/uc?export=view&amp;id=1Yu1VNIyh00VY0qz0F_SRTFrtl5eLAGmY" TargetMode="External"/><Relationship Id="rId89" Type="http://schemas.openxmlformats.org/officeDocument/2006/relationships/hyperlink" Target="https://drive.google.com/uc?export=view&amp;id=1JBbWCHh77B7AFb50OBlUvv7RBZNP1_mz" TargetMode="External"/><Relationship Id="rId80" Type="http://schemas.openxmlformats.org/officeDocument/2006/relationships/hyperlink" Target="https://drive.google.com/uc?export=view&amp;id=1EFnExG5fZ-NLFcaXn0b9OWk8PNUH8qe7" TargetMode="External"/><Relationship Id="rId82" Type="http://schemas.openxmlformats.org/officeDocument/2006/relationships/hyperlink" Target="https://drive.google.com/uc?export=view&amp;id=1LMx0ph-z-_iOcVg2kOfIWcypZQfXqIA1" TargetMode="External"/><Relationship Id="rId81" Type="http://schemas.openxmlformats.org/officeDocument/2006/relationships/hyperlink" Target="https://drive.google.com/uc?export=view&amp;id=1uG7f9LEw4Tgmf2x_G-CSaBlN4yCuZ9mV" TargetMode="External"/><Relationship Id="rId1" Type="http://schemas.openxmlformats.org/officeDocument/2006/relationships/hyperlink" Target="https://drive.google.com/uc?export=view&amp;id=1sqxqnWOgA9xGrBD_KPn0FgabZKt4e_sz" TargetMode="External"/><Relationship Id="rId2" Type="http://schemas.openxmlformats.org/officeDocument/2006/relationships/hyperlink" Target="https://drive.google.com/uc?export=view&amp;id=1mQzUxNKLRJqIuVE3cBUo7q9u66CQ8yyb" TargetMode="External"/><Relationship Id="rId3" Type="http://schemas.openxmlformats.org/officeDocument/2006/relationships/hyperlink" Target="https://drive.google.com/uc?export=view&amp;id=1gd-7RXch1_OvHkd-pK3FzzlzLMWII7wb" TargetMode="External"/><Relationship Id="rId4" Type="http://schemas.openxmlformats.org/officeDocument/2006/relationships/hyperlink" Target="https://drive.google.com/uc?export=view&amp;id=11RCN-6hGf4HEGM_ct7C7coTvx7HjYy5h" TargetMode="External"/><Relationship Id="rId9" Type="http://schemas.openxmlformats.org/officeDocument/2006/relationships/hyperlink" Target="https://drive.google.com/uc?export=view&amp;id=1CPZUsUfkqkXiirbd0qxkTlaKBWSVtfuD" TargetMode="External"/><Relationship Id="rId5" Type="http://schemas.openxmlformats.org/officeDocument/2006/relationships/hyperlink" Target="https://drive.google.com/uc?export=view&amp;id=1qsP1dapjN-fUFeFbQ4phtLJm59XKyZSa" TargetMode="External"/><Relationship Id="rId6" Type="http://schemas.openxmlformats.org/officeDocument/2006/relationships/hyperlink" Target="https://drive.google.com/uc?export=view&amp;id=1S3ZbvfZsseq_zIOlCYdGvD29lZfP8LC1" TargetMode="External"/><Relationship Id="rId7" Type="http://schemas.openxmlformats.org/officeDocument/2006/relationships/hyperlink" Target="https://drive.google.com/uc?export=view&amp;id=1ySMzrJYrKLb_oksDVTc1C6xFUbkBVOWd" TargetMode="External"/><Relationship Id="rId8" Type="http://schemas.openxmlformats.org/officeDocument/2006/relationships/hyperlink" Target="https://drive.google.com/uc?export=view&amp;id=1a01hhWvjKuwD2x7iaTm5qc5HYefFgExu" TargetMode="External"/><Relationship Id="rId73" Type="http://schemas.openxmlformats.org/officeDocument/2006/relationships/hyperlink" Target="https://drive.google.com/uc?export=view&amp;id=1naYrMkREi0PJzgc9bgZeFCm69CA2pI0W" TargetMode="External"/><Relationship Id="rId72" Type="http://schemas.openxmlformats.org/officeDocument/2006/relationships/hyperlink" Target="https://drive.google.com/uc?export=view&amp;id=1jAZtFB12Rl6jbJsP0SUQUV9msGXpS2tU" TargetMode="External"/><Relationship Id="rId75" Type="http://schemas.openxmlformats.org/officeDocument/2006/relationships/hyperlink" Target="https://drive.google.com/uc?export=view&amp;id=1aWxz4CkqXjPSW6kvsDSHIzeZzQdMT1jt" TargetMode="External"/><Relationship Id="rId74" Type="http://schemas.openxmlformats.org/officeDocument/2006/relationships/hyperlink" Target="https://drive.google.com/uc?export=view&amp;id=1VAxERSm6fixG7fkF2k7SKEGugva4DyH1" TargetMode="External"/><Relationship Id="rId77" Type="http://schemas.openxmlformats.org/officeDocument/2006/relationships/hyperlink" Target="https://drive.google.com/uc?export=view&amp;id=1KUYkQ-ntI_NqmCyx1LRq9TmGDjdyUJqE" TargetMode="External"/><Relationship Id="rId76" Type="http://schemas.openxmlformats.org/officeDocument/2006/relationships/hyperlink" Target="https://drive.google.com/uc?export=view&amp;id=1cpBJQeIrZvmHSoWSkVCLqJBwDfgl0htc" TargetMode="External"/><Relationship Id="rId79" Type="http://schemas.openxmlformats.org/officeDocument/2006/relationships/hyperlink" Target="https://drive.google.com/uc?export=view&amp;id=1TCMBbszNEGlsL5VtxrzOMEYelJOIT9FZ" TargetMode="External"/><Relationship Id="rId78" Type="http://schemas.openxmlformats.org/officeDocument/2006/relationships/hyperlink" Target="https://drive.google.com/uc?export=view&amp;id=1o-WHA7KYmRDE9B-j0opRv1mmpESGVSDE" TargetMode="External"/><Relationship Id="rId71" Type="http://schemas.openxmlformats.org/officeDocument/2006/relationships/hyperlink" Target="https://drive.google.com/uc?export=view&amp;id=1O04KDqtItyWS1Wb-hZKH6topLFRMZlv3" TargetMode="External"/><Relationship Id="rId70" Type="http://schemas.openxmlformats.org/officeDocument/2006/relationships/hyperlink" Target="https://drive.google.com/uc?export=view&amp;id=19H3R4zgjHAZiflYsQweOJLmZA10Cc78n" TargetMode="External"/><Relationship Id="rId132" Type="http://schemas.openxmlformats.org/officeDocument/2006/relationships/drawing" Target="../drawings/drawing5.xml"/><Relationship Id="rId131" Type="http://schemas.openxmlformats.org/officeDocument/2006/relationships/hyperlink" Target="https://drive.google.com/uc?export=view&amp;id=1UBntaiZR0fVUj9bHthFJzqO6EB85R_xD" TargetMode="External"/><Relationship Id="rId130" Type="http://schemas.openxmlformats.org/officeDocument/2006/relationships/hyperlink" Target="https://drive.google.com/uc?export=view&amp;id=10G6upqIzq9Xdy9gjMaOJCahZ4-c6knX3" TargetMode="External"/><Relationship Id="rId62" Type="http://schemas.openxmlformats.org/officeDocument/2006/relationships/hyperlink" Target="https://drive.google.com/uc?export=view&amp;id=1k250XgvOOF72FEsWYUjCjr-vWk2rMvCA" TargetMode="External"/><Relationship Id="rId61" Type="http://schemas.openxmlformats.org/officeDocument/2006/relationships/hyperlink" Target="https://drive.google.com/uc?export=view&amp;id=13-e9Hh-YxadlpFGjAtCfZq1t4LldE2sW" TargetMode="External"/><Relationship Id="rId64" Type="http://schemas.openxmlformats.org/officeDocument/2006/relationships/hyperlink" Target="https://drive.google.com/uc?export=view&amp;id=1PwzuPp2VxTtnOGGjL52cSiCJNgHn1YaD" TargetMode="External"/><Relationship Id="rId63" Type="http://schemas.openxmlformats.org/officeDocument/2006/relationships/hyperlink" Target="https://drive.google.com/uc?export=view&amp;id=15Ixz7gRkuWUlEcmqDxujhcHoFK2aMWqh" TargetMode="External"/><Relationship Id="rId66" Type="http://schemas.openxmlformats.org/officeDocument/2006/relationships/hyperlink" Target="https://drive.google.com/uc?export=view&amp;id=1rbHe7QhudbHnymZr_9pBTuKQfrZ2HOxy" TargetMode="External"/><Relationship Id="rId65" Type="http://schemas.openxmlformats.org/officeDocument/2006/relationships/hyperlink" Target="https://drive.google.com/uc?export=view&amp;id=1KwLbqsL-6Q1yoE8G3AwMdnmzLWWbbrjt" TargetMode="External"/><Relationship Id="rId68" Type="http://schemas.openxmlformats.org/officeDocument/2006/relationships/hyperlink" Target="https://drive.google.com/uc?export=view&amp;id=1qYx6YzAd7RoThhzI3dj8xoMiKTgPNNQB" TargetMode="External"/><Relationship Id="rId67" Type="http://schemas.openxmlformats.org/officeDocument/2006/relationships/hyperlink" Target="https://drive.google.com/uc?export=view&amp;id=1U9DtZZk7RfpK6n808zOfKMncNJh84Avf" TargetMode="External"/><Relationship Id="rId60" Type="http://schemas.openxmlformats.org/officeDocument/2006/relationships/hyperlink" Target="https://drive.google.com/uc?export=view&amp;id=1e3etQJ8LUZDBj9jvtlX132eBr56q_dyi" TargetMode="External"/><Relationship Id="rId69" Type="http://schemas.openxmlformats.org/officeDocument/2006/relationships/hyperlink" Target="https://drive.google.com/uc?export=view&amp;id=18PFzE98x-7-38bIQQMeBbQhFyyG9UUtz" TargetMode="External"/><Relationship Id="rId51" Type="http://schemas.openxmlformats.org/officeDocument/2006/relationships/hyperlink" Target="https://drive.google.com/uc?export=view&amp;id=1gOgwzP7D2h0Z1F21fEkAjqfyxVJvT7p-" TargetMode="External"/><Relationship Id="rId50" Type="http://schemas.openxmlformats.org/officeDocument/2006/relationships/hyperlink" Target="https://drive.google.com/uc?export=view&amp;id=1VO-blCnKuEYS9qo8oCv28yM3HgVBDY4k" TargetMode="External"/><Relationship Id="rId53" Type="http://schemas.openxmlformats.org/officeDocument/2006/relationships/hyperlink" Target="https://drive.google.com/uc?export=view&amp;id=1GoH205H7SDSeSRKizC_YohEv3ZGZXxse" TargetMode="External"/><Relationship Id="rId52" Type="http://schemas.openxmlformats.org/officeDocument/2006/relationships/hyperlink" Target="https://drive.google.com/uc?export=view&amp;id=1a6m6qE7T8XN3G9ZzjAeDnpm1xODJVD2W" TargetMode="External"/><Relationship Id="rId55" Type="http://schemas.openxmlformats.org/officeDocument/2006/relationships/hyperlink" Target="https://drive.google.com/uc?export=view&amp;id=1scI44eFWwzPsngWI-y80jrGu65dPSnBY" TargetMode="External"/><Relationship Id="rId54" Type="http://schemas.openxmlformats.org/officeDocument/2006/relationships/hyperlink" Target="https://drive.google.com/uc?export=view&amp;id=1Fp2mbB6QTjzNKyRuAhu51uK9XWGZJ0vs" TargetMode="External"/><Relationship Id="rId57" Type="http://schemas.openxmlformats.org/officeDocument/2006/relationships/hyperlink" Target="https://drive.google.com/uc?export=view&amp;id=1LeI13vNVUwpoOe3aB5qXyzdvDeRMQW9w" TargetMode="External"/><Relationship Id="rId56" Type="http://schemas.openxmlformats.org/officeDocument/2006/relationships/hyperlink" Target="https://drive.google.com/uc?export=view&amp;id=1UbWYqv9Pgk3-DhkNWiWiJWOb7vsKeDrh" TargetMode="External"/><Relationship Id="rId59" Type="http://schemas.openxmlformats.org/officeDocument/2006/relationships/hyperlink" Target="https://drive.google.com/uc?export=view&amp;id=18e8CKNN7uYnEReVwAR_x3SW6-0KRC1ti" TargetMode="External"/><Relationship Id="rId58" Type="http://schemas.openxmlformats.org/officeDocument/2006/relationships/hyperlink" Target="https://drive.google.com/uc?export=view&amp;id=1C0hRWT9xPhxebxS20gdcnONnrFFrHrc8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38"/>
    <col customWidth="1" min="4" max="4" width="2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</row>
    <row r="2" ht="112.5" customHeight="1">
      <c r="A2" s="3" t="str">
        <f>EQ!A2</f>
        <v>0685c8001a43b03e0a155e1afa0c7bec2f4e82d24f7ce4843b25a441c45dd335</v>
      </c>
      <c r="B2" s="3">
        <f t="array" ref="B2">XLOOKUP(A2, Notes!A:A, Notes!B:B, "")</f>
        <v>70.2</v>
      </c>
      <c r="C2" s="3" t="str">
        <f>IFERROR(IMAGE(VLOOKUP(A2,DriveImages!A:C,3,FALSE),4,240,520),"")</f>
        <v/>
      </c>
      <c r="D2" s="3" t="str">
        <f>IF($A2="","",IF(AND(N($G2)&lt;=Params!$D$2,N($H2)&lt;=Params!$E$2),"Peu actif",IF(AND(N($I2)&gt;=Params!$F$4,N($E2)&lt;=Params!$B$2,N($F2)&lt;=Params!$C$2),"Efficace",IF(AND(N($F2)&gt;=Params!$C$4,OR(N($I2)&lt;=Params!$F$3,N($E2)&gt;=Params!$B$4)),"Bloqué",IF(AND(OR(N($G2)&gt;=Params!$D$4,N($H2)&gt;=Params!$E$4),N($I2)&lt;=Params!$F$3),"Persévérant",IF(AND(N($J2)&gt;=Params!$G$4,OR(N($G2)&lt;=Params!$D$3,N($H2)&lt;=Params!$E$3)),"Sporadique","Intermédiaire"))))))</f>
        <v>Peu actif</v>
      </c>
      <c r="E2" s="6">
        <f t="array" ref="E2">XLOOKUP(A2, EQ!A:A, EQ!B:B, "")</f>
        <v>0</v>
      </c>
      <c r="F2" s="6">
        <f t="array" ref="F2">XLOOKUP(A2, RED!A:A, RED!B:B, "")</f>
        <v>0</v>
      </c>
      <c r="G2" s="3">
        <f t="shared" ref="G2:G16" si="2">XLOOKUP(A2, INDIRECT("'"&amp;G$1&amp;"'!A:A"), INDIRECT("'"&amp;G$1&amp;"'!B:B"), "")</f>
        <v>4</v>
      </c>
      <c r="H2" s="3">
        <f t="shared" ref="H2:K2" si="1">XLOOKUP($A2, INDIRECT("'"&amp;H$1&amp;"'!A:A"), INDIRECT("'"&amp;H$1&amp;"'!B:B"), "")</f>
        <v>1</v>
      </c>
      <c r="I2" s="3">
        <f t="shared" si="1"/>
        <v>1</v>
      </c>
      <c r="J2" s="3">
        <f t="shared" si="1"/>
        <v>0</v>
      </c>
      <c r="K2" s="3">
        <f t="shared" si="1"/>
        <v>0.9565215</v>
      </c>
    </row>
    <row r="3" ht="112.5" customHeight="1">
      <c r="A3" s="3" t="str">
        <f>EQ!A40</f>
        <v>69ea8e8a316c3f982db0286a71ca33c251b858994e27bb848e628967df9d15f9</v>
      </c>
      <c r="B3" s="3">
        <f t="array" ref="B3">XLOOKUP(A3, Notes!A:A, Notes!B:B, "")</f>
        <v>73.15</v>
      </c>
      <c r="C3" s="3" t="str">
        <f>IFERROR(IMAGE(VLOOKUP(A3,DriveImages!A:C,3,FALSE),4,240,520),"")</f>
        <v/>
      </c>
      <c r="D3" s="3" t="str">
        <f>IF($A3="","",IF(AND(N($G3)&lt;=Params!$D$2,N($H3)&lt;=Params!$E$2),"Peu actif",IF(AND(N($I3)&gt;=Params!$F$4,N($E3)&lt;=Params!$B$2,N($F3)&lt;=Params!$C$2),"Efficace",IF(AND(N($F3)&gt;=Params!$C$4,OR(N($I3)&lt;=Params!$F$3,N($E3)&gt;=Params!$B$4)),"Bloqué",IF(AND(OR(N($G3)&gt;=Params!$D$4,N($H3)&gt;=Params!$E$4),N($I3)&lt;=Params!$F$3),"Persévérant",IF(AND(N($J3)&gt;=Params!$G$4,OR(N($G3)&lt;=Params!$D$3,N($H3)&lt;=Params!$E$3)),"Sporadique","Intermédiaire"))))))</f>
        <v>Efficace</v>
      </c>
      <c r="E3" s="6">
        <f t="array" ref="E3">XLOOKUP(A3, EQ!A:A, EQ!B:B, "")</f>
        <v>0</v>
      </c>
      <c r="F3" s="6">
        <f t="array" ref="F3">XLOOKUP(A3, RED!A:A, RED!B:B, "")</f>
        <v>0</v>
      </c>
      <c r="G3" s="3">
        <f t="shared" si="2"/>
        <v>4</v>
      </c>
      <c r="H3" s="3">
        <f t="shared" ref="H3:K3" si="3">XLOOKUP($A3, INDIRECT("'"&amp;H$1&amp;"'!A:A"), INDIRECT("'"&amp;H$1&amp;"'!B:B"), "")</f>
        <v>3</v>
      </c>
      <c r="I3" s="3">
        <f t="shared" si="3"/>
        <v>1</v>
      </c>
      <c r="J3" s="3">
        <f t="shared" si="3"/>
        <v>0.6666666667</v>
      </c>
      <c r="K3" s="3">
        <f t="shared" si="3"/>
        <v>0.9285715</v>
      </c>
    </row>
    <row r="4" ht="112.5" customHeight="1">
      <c r="A4" s="3" t="str">
        <f>EQ!A4</f>
        <v>091dc109aa58c7a670f4b61bc23df548fec73c05c7582dfb7c51f3a925d3618f</v>
      </c>
      <c r="B4" s="3">
        <f t="array" ref="B4">XLOOKUP(A4, Notes!A:A, Notes!B:B, "")</f>
        <v>68.44</v>
      </c>
      <c r="C4" s="3" t="str">
        <f>IFERROR(IMAGE(VLOOKUP(A4,DriveImages!A:C,3,FALSE),4,240,520),"")</f>
        <v/>
      </c>
      <c r="D4" s="3" t="str">
        <f>IF($A4="","",IF(AND(N($G4)&lt;=Params!$D$2,N($H4)&lt;=Params!$E$2),"Peu actif",IF(AND(N($I4)&gt;=Params!$F$4,N($E4)&lt;=Params!$B$2,N($F4)&lt;=Params!$C$2),"Efficace",IF(AND(N($F4)&gt;=Params!$C$4,OR(N($I4)&lt;=Params!$F$3,N($E4)&gt;=Params!$B$4)),"Bloqué",IF(AND(OR(N($G4)&gt;=Params!$D$4,N($H4)&gt;=Params!$E$4),N($I4)&lt;=Params!$F$3),"Persévérant",IF(AND(N($J4)&gt;=Params!$G$4,OR(N($G4)&lt;=Params!$D$3,N($H4)&lt;=Params!$E$3)),"Sporadique","Intermédiaire"))))))</f>
        <v>Efficace</v>
      </c>
      <c r="E4" s="6">
        <f t="array" ref="E4">XLOOKUP(A4, EQ!A:A, EQ!B:B, "")</f>
        <v>0.04545454545</v>
      </c>
      <c r="F4" s="6">
        <f t="array" ref="F4">XLOOKUP(A4, RED!A:A, RED!B:B, "")</f>
        <v>0.02272727</v>
      </c>
      <c r="G4" s="3">
        <f t="shared" si="2"/>
        <v>29</v>
      </c>
      <c r="H4" s="3">
        <f t="shared" ref="H4:K4" si="4">XLOOKUP($A4, INDIRECT("'"&amp;H$1&amp;"'!A:A"), INDIRECT("'"&amp;H$1&amp;"'!B:B"), "")</f>
        <v>4</v>
      </c>
      <c r="I4" s="3">
        <f t="shared" si="4"/>
        <v>0.8965517241</v>
      </c>
      <c r="J4" s="3">
        <f t="shared" si="4"/>
        <v>0.1071428571</v>
      </c>
      <c r="K4" s="3">
        <f t="shared" si="4"/>
        <v>0.87335797</v>
      </c>
    </row>
    <row r="5" ht="112.5" customHeight="1">
      <c r="A5" s="3" t="str">
        <f>EQ!A15</f>
        <v>275839578ec60b5084d5e18fccb01310e9f1b78293cad00bec043945e0f3e629</v>
      </c>
      <c r="B5" s="3">
        <f t="array" ref="B5">XLOOKUP(A5, Notes!A:A, Notes!B:B, "")</f>
        <v>70.3</v>
      </c>
      <c r="C5" s="3" t="str">
        <f>IFERROR(IMAGE(VLOOKUP(A5,DriveImages!A:C,3,FALSE),4,240,520),"")</f>
        <v/>
      </c>
      <c r="D5" s="3" t="str">
        <f>IF($A5="","",IF(AND(N($G5)&lt;=Params!$D$2,N($H5)&lt;=Params!$E$2),"Peu actif",IF(AND(N($I5)&gt;=Params!$F$4,N($E5)&lt;=Params!$B$2,N($F5)&lt;=Params!$C$2),"Efficace",IF(AND(N($F5)&gt;=Params!$C$4,OR(N($I5)&lt;=Params!$F$3,N($E5)&gt;=Params!$B$4)),"Bloqué",IF(AND(OR(N($G5)&gt;=Params!$D$4,N($H5)&gt;=Params!$E$4),N($I5)&lt;=Params!$F$3),"Persévérant",IF(AND(N($J5)&gt;=Params!$G$4,OR(N($G5)&lt;=Params!$D$3,N($H5)&lt;=Params!$E$3)),"Sporadique","Intermédiaire"))))))</f>
        <v>Efficace</v>
      </c>
      <c r="E5" s="6">
        <f t="array" ref="E5">XLOOKUP(A5, EQ!A:A, EQ!B:B, "")</f>
        <v>0</v>
      </c>
      <c r="F5" s="6">
        <f t="array" ref="F5">XLOOKUP(A5, RED!A:A, RED!B:B, "")</f>
        <v>0</v>
      </c>
      <c r="G5" s="3">
        <f t="shared" si="2"/>
        <v>14</v>
      </c>
      <c r="H5" s="3">
        <f t="shared" ref="H5:K5" si="5">XLOOKUP($A5, INDIRECT("'"&amp;H$1&amp;"'!A:A"), INDIRECT("'"&amp;H$1&amp;"'!B:B"), "")</f>
        <v>3</v>
      </c>
      <c r="I5" s="3">
        <f t="shared" si="5"/>
        <v>0.8571428571</v>
      </c>
      <c r="J5" s="3">
        <f t="shared" si="5"/>
        <v>0.1538461538</v>
      </c>
      <c r="K5" s="3">
        <f t="shared" si="5"/>
        <v>0.83724307</v>
      </c>
    </row>
    <row r="6" ht="112.5" customHeight="1">
      <c r="A6" s="3" t="str">
        <f>EQ!A86</f>
        <v>cbdbb864a7b15c5903aa09adff018a3d184f25c250b86926a5bc3fd9d9169037</v>
      </c>
      <c r="B6" s="3">
        <f t="array" ref="B6">XLOOKUP(A6, Notes!A:A, Notes!B:B, "")</f>
        <v>0</v>
      </c>
      <c r="C6" s="3" t="str">
        <f>IFERROR(IMAGE(VLOOKUP(A6,DriveImages!A:C,3,FALSE),4,240,520),"")</f>
        <v/>
      </c>
      <c r="D6" s="3" t="str">
        <f>IF($A6="","",IF(AND(N($G6)&lt;=Params!$D$2,N($H6)&lt;=Params!$E$2),"Peu actif",IF(AND(N($I6)&gt;=Params!$F$4,N($E6)&lt;=Params!$B$2,N($F6)&lt;=Params!$C$2),"Efficace",IF(AND(N($F6)&gt;=Params!$C$4,OR(N($I6)&lt;=Params!$F$3,N($E6)&gt;=Params!$B$4)),"Bloqué",IF(AND(OR(N($G6)&gt;=Params!$D$4,N($H6)&gt;=Params!$E$4),N($I6)&lt;=Params!$F$3),"Persévérant",IF(AND(N($J6)&gt;=Params!$G$4,OR(N($G6)&lt;=Params!$D$3,N($H6)&lt;=Params!$E$3)),"Sporadique","Intermédiaire"))))))</f>
        <v>Intermédiaire</v>
      </c>
      <c r="E6" s="6">
        <f t="array" ref="E6">XLOOKUP(A6, EQ!A:A, EQ!B:B, "")</f>
        <v>0.25</v>
      </c>
      <c r="F6" s="6">
        <f t="array" ref="F6">XLOOKUP(A6, RED!A:A, RED!B:B, "")</f>
        <v>0.125</v>
      </c>
      <c r="G6" s="3">
        <f t="shared" si="2"/>
        <v>14</v>
      </c>
      <c r="H6" s="3">
        <f t="shared" ref="H6:K6" si="6">XLOOKUP($A6, INDIRECT("'"&amp;H$1&amp;"'!A:A"), INDIRECT("'"&amp;H$1&amp;"'!B:B"), "")</f>
        <v>1</v>
      </c>
      <c r="I6" s="3">
        <f t="shared" si="6"/>
        <v>0.8571428571</v>
      </c>
      <c r="J6" s="3">
        <f t="shared" si="6"/>
        <v>0</v>
      </c>
      <c r="K6" s="3">
        <f t="shared" si="6"/>
        <v>0.83392486</v>
      </c>
    </row>
    <row r="7" ht="112.5" customHeight="1">
      <c r="A7" s="3" t="str">
        <f>EQ!A65</f>
        <v>95944dae06f4e15b8e63e41064092bc51db9f568df5abcdb866112b0a58a759a</v>
      </c>
      <c r="B7" s="3">
        <f t="array" ref="B7">XLOOKUP(A7, Notes!A:A, Notes!B:B, "")</f>
        <v>82.53</v>
      </c>
      <c r="C7" s="3" t="str">
        <f>IFERROR(IMAGE(VLOOKUP(A7,DriveImages!A:C,3,FALSE),4,240,520),"")</f>
        <v/>
      </c>
      <c r="D7" s="3" t="str">
        <f>IF($A7="","",IF(AND(N($G7)&lt;=Params!$D$2,N($H7)&lt;=Params!$E$2),"Peu actif",IF(AND(N($I7)&gt;=Params!$F$4,N($E7)&lt;=Params!$B$2,N($F7)&lt;=Params!$C$2),"Efficace",IF(AND(N($F7)&gt;=Params!$C$4,OR(N($I7)&lt;=Params!$F$3,N($E7)&gt;=Params!$B$4)),"Bloqué",IF(AND(OR(N($G7)&gt;=Params!$D$4,N($H7)&gt;=Params!$E$4),N($I7)&lt;=Params!$F$3),"Persévérant",IF(AND(N($J7)&gt;=Params!$G$4,OR(N($G7)&lt;=Params!$D$3,N($H7)&lt;=Params!$E$3)),"Sporadique","Intermédiaire"))))))</f>
        <v>Efficace</v>
      </c>
      <c r="E7" s="6">
        <f t="array" ref="E7">XLOOKUP(A7, EQ!A:A, EQ!B:B, "")</f>
        <v>0</v>
      </c>
      <c r="F7" s="6">
        <f t="array" ref="F7">XLOOKUP(A7, RED!A:A, RED!B:B, "")</f>
        <v>0</v>
      </c>
      <c r="G7" s="3">
        <f t="shared" si="2"/>
        <v>6</v>
      </c>
      <c r="H7" s="3">
        <f t="shared" ref="H7:K7" si="7">XLOOKUP($A7, INDIRECT("'"&amp;H$1&amp;"'!A:A"), INDIRECT("'"&amp;H$1&amp;"'!B:B"), "")</f>
        <v>1</v>
      </c>
      <c r="I7" s="3">
        <f t="shared" si="7"/>
        <v>0.8333333333</v>
      </c>
      <c r="J7" s="3">
        <f t="shared" si="7"/>
        <v>0</v>
      </c>
      <c r="K7" s="3">
        <f t="shared" si="7"/>
        <v>0.83333333</v>
      </c>
    </row>
    <row r="8" ht="112.5" customHeight="1">
      <c r="A8" s="3" t="str">
        <f>EQ!A7</f>
        <v>0ff8e00eabc873cbfaa0832c3aa0e4a4b03e6f72593a71ecf7e5b2e4d0c82e06</v>
      </c>
      <c r="B8" s="3">
        <f t="array" ref="B8">XLOOKUP(A8, Notes!A:A, Notes!B:B, "")</f>
        <v>83.25</v>
      </c>
      <c r="C8" s="3" t="str">
        <f>IFERROR(IMAGE(VLOOKUP(A8,DriveImages!A:C,3,FALSE),4,240,520),"")</f>
        <v/>
      </c>
      <c r="D8" s="3" t="str">
        <f>IF($A8="","",IF(AND(N($G8)&lt;=Params!$D$2,N($H8)&lt;=Params!$E$2),"Peu actif",IF(AND(N($I8)&gt;=Params!$F$4,N($E8)&lt;=Params!$B$2,N($F8)&lt;=Params!$C$2),"Efficace",IF(AND(N($F8)&gt;=Params!$C$4,OR(N($I8)&lt;=Params!$F$3,N($E8)&gt;=Params!$B$4)),"Bloqué",IF(AND(OR(N($G8)&gt;=Params!$D$4,N($H8)&gt;=Params!$E$4),N($I8)&lt;=Params!$F$3),"Persévérant",IF(AND(N($J8)&gt;=Params!$G$4,OR(N($G8)&lt;=Params!$D$3,N($H8)&lt;=Params!$E$3)),"Sporadique","Intermédiaire"))))))</f>
        <v>Efficace</v>
      </c>
      <c r="E8" s="6">
        <f t="array" ref="E8">XLOOKUP(A8, EQ!A:A, EQ!B:B, "")</f>
        <v>0</v>
      </c>
      <c r="F8" s="6">
        <f t="array" ref="F8">XLOOKUP(A8, RED!A:A, RED!B:B, "")</f>
        <v>0</v>
      </c>
      <c r="G8" s="3">
        <f t="shared" si="2"/>
        <v>15</v>
      </c>
      <c r="H8" s="3">
        <f t="shared" ref="H8:K8" si="8">XLOOKUP($A8, INDIRECT("'"&amp;H$1&amp;"'!A:A"), INDIRECT("'"&amp;H$1&amp;"'!B:B"), "")</f>
        <v>1</v>
      </c>
      <c r="I8" s="3">
        <f t="shared" si="8"/>
        <v>0.8666666667</v>
      </c>
      <c r="J8" s="3">
        <f t="shared" si="8"/>
        <v>0</v>
      </c>
      <c r="K8" s="3">
        <f t="shared" si="8"/>
        <v>0.82559527</v>
      </c>
    </row>
    <row r="9" ht="112.5" customHeight="1">
      <c r="A9" s="3" t="str">
        <f>EQ!A53</f>
        <v>7ce2ef889fd3931ddf910c65e58e6b626f658d713486152c54f9f8a0e6f37375</v>
      </c>
      <c r="B9" s="3">
        <f t="array" ref="B9">XLOOKUP(A9, Notes!A:A, Notes!B:B, "")</f>
        <v>74.78</v>
      </c>
      <c r="C9" s="3" t="str">
        <f>IFERROR(IMAGE(VLOOKUP(A9,DriveImages!A:C,3,FALSE),4,240,520),"")</f>
        <v/>
      </c>
      <c r="D9" s="3" t="str">
        <f>IF($A9="","",IF(AND(N($G9)&lt;=Params!$D$2,N($H9)&lt;=Params!$E$2),"Peu actif",IF(AND(N($I9)&gt;=Params!$F$4,N($E9)&lt;=Params!$B$2,N($F9)&lt;=Params!$C$2),"Efficace",IF(AND(N($F9)&gt;=Params!$C$4,OR(N($I9)&lt;=Params!$F$3,N($E9)&gt;=Params!$B$4)),"Bloqué",IF(AND(OR(N($G9)&gt;=Params!$D$4,N($H9)&gt;=Params!$E$4),N($I9)&lt;=Params!$F$3),"Persévérant",IF(AND(N($J9)&gt;=Params!$G$4,OR(N($G9)&lt;=Params!$D$3,N($H9)&lt;=Params!$E$3)),"Sporadique","Intermédiaire"))))))</f>
        <v>Efficace</v>
      </c>
      <c r="E9" s="6">
        <f t="array" ref="E9">XLOOKUP(A9, EQ!A:A, EQ!B:B, "")</f>
        <v>0.125</v>
      </c>
      <c r="F9" s="6">
        <f t="array" ref="F9">XLOOKUP(A9, RED!A:A, RED!B:B, "")</f>
        <v>0.0625</v>
      </c>
      <c r="G9" s="3">
        <f t="shared" si="2"/>
        <v>22</v>
      </c>
      <c r="H9" s="3">
        <f t="shared" ref="H9:K9" si="9">XLOOKUP($A9, INDIRECT("'"&amp;H$1&amp;"'!A:A"), INDIRECT("'"&amp;H$1&amp;"'!B:B"), "")</f>
        <v>3</v>
      </c>
      <c r="I9" s="3">
        <f t="shared" si="9"/>
        <v>0.8636363636</v>
      </c>
      <c r="J9" s="3">
        <f t="shared" si="9"/>
        <v>0.09523809524</v>
      </c>
      <c r="K9" s="3">
        <f t="shared" si="9"/>
        <v>0.81437473</v>
      </c>
    </row>
    <row r="10" ht="112.5" customHeight="1">
      <c r="A10" s="3" t="str">
        <f>EQ!A80</f>
        <v>bee686e3fcc9f3886386d09a5bbd6f4779d852c8bb282b0b6185be70704d9207</v>
      </c>
      <c r="B10" s="3">
        <f t="array" ref="B10">XLOOKUP(A10, Notes!A:A, Notes!B:B, "")</f>
        <v>85.8</v>
      </c>
      <c r="C10" s="3" t="str">
        <f>IFERROR(IMAGE(VLOOKUP(A10,DriveImages!A:C,3,FALSE),4,240,520),"")</f>
        <v/>
      </c>
      <c r="D10" s="3" t="str">
        <f>IF($A10="","",IF(AND(N($G10)&lt;=Params!$D$2,N($H10)&lt;=Params!$E$2),"Peu actif",IF(AND(N($I10)&gt;=Params!$F$4,N($E10)&lt;=Params!$B$2,N($F10)&lt;=Params!$C$2),"Efficace",IF(AND(N($F10)&gt;=Params!$C$4,OR(N($I10)&lt;=Params!$F$3,N($E10)&gt;=Params!$B$4)),"Bloqué",IF(AND(OR(N($G10)&gt;=Params!$D$4,N($H10)&gt;=Params!$E$4),N($I10)&lt;=Params!$F$3),"Persévérant",IF(AND(N($J10)&gt;=Params!$G$4,OR(N($G10)&lt;=Params!$D$3,N($H10)&lt;=Params!$E$3)),"Sporadique","Intermédiaire"))))))</f>
        <v>Efficace</v>
      </c>
      <c r="E10" s="6">
        <f t="array" ref="E10">XLOOKUP(A10, EQ!A:A, EQ!B:B, "")</f>
        <v>0</v>
      </c>
      <c r="F10" s="6">
        <f t="array" ref="F10">XLOOKUP(A10, RED!A:A, RED!B:B, "")</f>
        <v>0</v>
      </c>
      <c r="G10" s="3">
        <f t="shared" si="2"/>
        <v>9</v>
      </c>
      <c r="H10" s="3">
        <f t="shared" ref="H10:K10" si="10">XLOOKUP($A10, INDIRECT("'"&amp;H$1&amp;"'!A:A"), INDIRECT("'"&amp;H$1&amp;"'!B:B"), "")</f>
        <v>1</v>
      </c>
      <c r="I10" s="3">
        <f t="shared" si="10"/>
        <v>0.8888888889</v>
      </c>
      <c r="J10" s="3">
        <f t="shared" si="10"/>
        <v>0</v>
      </c>
      <c r="K10" s="3">
        <f t="shared" si="10"/>
        <v>0.80886244</v>
      </c>
    </row>
    <row r="11" ht="112.5" customHeight="1">
      <c r="A11" s="3" t="str">
        <f>EQ!A91</f>
        <v>d3f0d126711eb978e948a2cbeb9c2b2b0ffa79541fe717c41575d91f5e21aa61</v>
      </c>
      <c r="B11" s="3">
        <f t="array" ref="B11">XLOOKUP(A11, Notes!A:A, Notes!B:B, "")</f>
        <v>82.96</v>
      </c>
      <c r="C11" s="3" t="str">
        <f>IFERROR(IMAGE(VLOOKUP(A11,DriveImages!A:C,3,FALSE),4,240,520),"")</f>
        <v/>
      </c>
      <c r="D11" s="3" t="str">
        <f>IF($A11="","",IF(AND(N($G11)&lt;=Params!$D$2,N($H11)&lt;=Params!$E$2),"Peu actif",IF(AND(N($I11)&gt;=Params!$F$4,N($E11)&lt;=Params!$B$2,N($F11)&lt;=Params!$C$2),"Efficace",IF(AND(N($F11)&gt;=Params!$C$4,OR(N($I11)&lt;=Params!$F$3,N($E11)&gt;=Params!$B$4)),"Bloqué",IF(AND(OR(N($G11)&gt;=Params!$D$4,N($H11)&gt;=Params!$E$4),N($I11)&lt;=Params!$F$3),"Persévérant",IF(AND(N($J11)&gt;=Params!$G$4,OR(N($G11)&lt;=Params!$D$3,N($H11)&lt;=Params!$E$3)),"Sporadique","Intermédiaire"))))))</f>
        <v>Efficace</v>
      </c>
      <c r="E11" s="6">
        <f t="array" ref="E11">XLOOKUP(A11, EQ!A:A, EQ!B:B, "")</f>
        <v>0</v>
      </c>
      <c r="F11" s="6">
        <f t="array" ref="F11">XLOOKUP(A11, RED!A:A, RED!B:B, "")</f>
        <v>0</v>
      </c>
      <c r="G11" s="3">
        <f t="shared" si="2"/>
        <v>18</v>
      </c>
      <c r="H11" s="3">
        <f t="shared" ref="H11:K11" si="11">XLOOKUP($A11, INDIRECT("'"&amp;H$1&amp;"'!A:A"), INDIRECT("'"&amp;H$1&amp;"'!B:B"), "")</f>
        <v>3</v>
      </c>
      <c r="I11" s="3">
        <f t="shared" si="11"/>
        <v>0.8888888889</v>
      </c>
      <c r="J11" s="3">
        <f t="shared" si="11"/>
        <v>0.1176470588</v>
      </c>
      <c r="K11" s="3">
        <f t="shared" si="11"/>
        <v>0.79307572</v>
      </c>
    </row>
    <row r="12" ht="112.5" customHeight="1">
      <c r="A12" s="3" t="str">
        <f>EQ!A100</f>
        <v>ea47fdcc277117bd663900f36ab09bad41ea1af083ccbc63647b5838e1056ebc</v>
      </c>
      <c r="B12" s="3">
        <f t="array" ref="B12">XLOOKUP(A12, Notes!A:A, Notes!B:B, "")</f>
        <v>83.25</v>
      </c>
      <c r="C12" s="3" t="str">
        <f>IFERROR(IMAGE(VLOOKUP(A12,DriveImages!A:C,3,FALSE),4,240,520),"")</f>
        <v/>
      </c>
      <c r="D12" s="3" t="str">
        <f>IF($A12="","",IF(AND(N($G12)&lt;=Params!$D$2,N($H12)&lt;=Params!$E$2),"Peu actif",IF(AND(N($I12)&gt;=Params!$F$4,N($E12)&lt;=Params!$B$2,N($F12)&lt;=Params!$C$2),"Efficace",IF(AND(N($F12)&gt;=Params!$C$4,OR(N($I12)&lt;=Params!$F$3,N($E12)&gt;=Params!$B$4)),"Bloqué",IF(AND(OR(N($G12)&gt;=Params!$D$4,N($H12)&gt;=Params!$E$4),N($I12)&lt;=Params!$F$3),"Persévérant",IF(AND(N($J12)&gt;=Params!$G$4,OR(N($G12)&lt;=Params!$D$3,N($H12)&lt;=Params!$E$3)),"Sporadique","Intermédiaire"))))))</f>
        <v>Efficace</v>
      </c>
      <c r="E12" s="6">
        <f t="array" ref="E12">XLOOKUP(A12, EQ!A:A, EQ!B:B, "")</f>
        <v>0</v>
      </c>
      <c r="F12" s="6">
        <f t="array" ref="F12">XLOOKUP(A12, RED!A:A, RED!B:B, "")</f>
        <v>0</v>
      </c>
      <c r="G12" s="3">
        <f t="shared" si="2"/>
        <v>19</v>
      </c>
      <c r="H12" s="3">
        <f t="shared" ref="H12:K12" si="12">XLOOKUP($A12, INDIRECT("'"&amp;H$1&amp;"'!A:A"), INDIRECT("'"&amp;H$1&amp;"'!B:B"), "")</f>
        <v>1</v>
      </c>
      <c r="I12" s="3">
        <f t="shared" si="12"/>
        <v>0.8421052632</v>
      </c>
      <c r="J12" s="3">
        <f t="shared" si="12"/>
        <v>0</v>
      </c>
      <c r="K12" s="3">
        <f t="shared" si="12"/>
        <v>0.77161658</v>
      </c>
    </row>
    <row r="13" ht="112.5" customHeight="1">
      <c r="A13" s="3" t="str">
        <f>EQ!A23</f>
        <v>3d85bc081b5cbae4e23792cd67c1c0fd9af811e86418a20d777c3fbe812ba910</v>
      </c>
      <c r="B13" s="3">
        <f t="array" ref="B13">XLOOKUP(A13, Notes!A:A, Notes!B:B, "")</f>
        <v>50.06</v>
      </c>
      <c r="C13" s="3" t="str">
        <f>IFERROR(IMAGE(VLOOKUP(A13,DriveImages!A:C,3,FALSE),4,240,520),"")</f>
        <v/>
      </c>
      <c r="D13" s="3" t="str">
        <f>IF($A13="","",IF(AND(N($G13)&lt;=Params!$D$2,N($H13)&lt;=Params!$E$2),"Peu actif",IF(AND(N($I13)&gt;=Params!$F$4,N($E13)&lt;=Params!$B$2,N($F13)&lt;=Params!$C$2),"Efficace",IF(AND(N($F13)&gt;=Params!$C$4,OR(N($I13)&lt;=Params!$F$3,N($E13)&gt;=Params!$B$4)),"Bloqué",IF(AND(OR(N($G13)&gt;=Params!$D$4,N($H13)&gt;=Params!$E$4),N($I13)&lt;=Params!$F$3),"Persévérant",IF(AND(N($J13)&gt;=Params!$G$4,OR(N($G13)&lt;=Params!$D$3,N($H13)&lt;=Params!$E$3)),"Sporadique","Intermédiaire"))))))</f>
        <v>Efficace</v>
      </c>
      <c r="E13" s="6">
        <f t="array" ref="E13">XLOOKUP(A13, EQ!A:A, EQ!B:B, "")</f>
        <v>0</v>
      </c>
      <c r="F13" s="6">
        <f t="array" ref="F13">XLOOKUP(A13, RED!A:A, RED!B:B, "")</f>
        <v>0</v>
      </c>
      <c r="G13" s="3">
        <f t="shared" si="2"/>
        <v>5</v>
      </c>
      <c r="H13" s="3">
        <f t="shared" ref="H13:K13" si="13">XLOOKUP($A13, INDIRECT("'"&amp;H$1&amp;"'!A:A"), INDIRECT("'"&amp;H$1&amp;"'!B:B"), "")</f>
        <v>2</v>
      </c>
      <c r="I13" s="3">
        <f t="shared" si="13"/>
        <v>1</v>
      </c>
      <c r="J13" s="3">
        <f t="shared" si="13"/>
        <v>0.25</v>
      </c>
      <c r="K13" s="3">
        <f t="shared" si="13"/>
        <v>0.7545456</v>
      </c>
    </row>
    <row r="14" ht="112.5" customHeight="1">
      <c r="A14" s="3" t="str">
        <f>EQ!A5</f>
        <v>0973288c77f97c9245c444f90526bc6137bc40b48200197fd5bb6134f618f165</v>
      </c>
      <c r="B14" s="3">
        <f t="array" ref="B14">XLOOKUP(A14, Notes!A:A, Notes!B:B, "")</f>
        <v>49.89</v>
      </c>
      <c r="C14" s="3" t="str">
        <f>IFERROR(IMAGE(VLOOKUP(A14,DriveImages!A:C,3,FALSE),4,240,520),"")</f>
        <v/>
      </c>
      <c r="D14" s="3" t="str">
        <f>IF($A14="","",IF(AND(N($G14)&lt;=Params!$D$2,N($H14)&lt;=Params!$E$2),"Peu actif",IF(AND(N($I14)&gt;=Params!$F$4,N($E14)&lt;=Params!$B$2,N($F14)&lt;=Params!$C$2),"Efficace",IF(AND(N($F14)&gt;=Params!$C$4,OR(N($I14)&lt;=Params!$F$3,N($E14)&gt;=Params!$B$4)),"Bloqué",IF(AND(OR(N($G14)&gt;=Params!$D$4,N($H14)&gt;=Params!$E$4),N($I14)&lt;=Params!$F$3),"Persévérant",IF(AND(N($J14)&gt;=Params!$G$4,OR(N($G14)&lt;=Params!$D$3,N($H14)&lt;=Params!$E$3)),"Sporadique","Intermédiaire"))))))</f>
        <v>Efficace</v>
      </c>
      <c r="E14" s="6">
        <f t="array" ref="E14">XLOOKUP(A14, EQ!A:A, EQ!B:B, "")</f>
        <v>0.125</v>
      </c>
      <c r="F14" s="6">
        <f t="array" ref="F14">XLOOKUP(A14, RED!A:A, RED!B:B, "")</f>
        <v>0.0625</v>
      </c>
      <c r="G14" s="3">
        <f t="shared" si="2"/>
        <v>16</v>
      </c>
      <c r="H14" s="3">
        <f t="shared" ref="H14:K14" si="14">XLOOKUP($A14, INDIRECT("'"&amp;H$1&amp;"'!A:A"), INDIRECT("'"&amp;H$1&amp;"'!B:B"), "")</f>
        <v>1</v>
      </c>
      <c r="I14" s="3">
        <f t="shared" si="14"/>
        <v>0.8125</v>
      </c>
      <c r="J14" s="3">
        <f t="shared" si="14"/>
        <v>0</v>
      </c>
      <c r="K14" s="3">
        <f t="shared" si="14"/>
        <v>0.74572175</v>
      </c>
    </row>
    <row r="15" ht="112.5" customHeight="1">
      <c r="A15" s="3" t="str">
        <f>EQ!A8</f>
        <v>109c6e9ad83923fec425f5948621a620bad8efb25d507dbead8bcfa627bc55e6</v>
      </c>
      <c r="B15" s="3">
        <f t="array" ref="B15">XLOOKUP(A15, Notes!A:A, Notes!B:B, "")</f>
        <v>93.25</v>
      </c>
      <c r="C15" s="3" t="str">
        <f>IFERROR(IMAGE(VLOOKUP(A15,DriveImages!A:C,3,FALSE),4,240,520),"")</f>
        <v/>
      </c>
      <c r="D15" s="3" t="str">
        <f>IF($A15="","",IF(AND(N($G15)&lt;=Params!$D$2,N($H15)&lt;=Params!$E$2),"Peu actif",IF(AND(N($I15)&gt;=Params!$F$4,N($E15)&lt;=Params!$B$2,N($F15)&lt;=Params!$C$2),"Efficace",IF(AND(N($F15)&gt;=Params!$C$4,OR(N($I15)&lt;=Params!$F$3,N($E15)&gt;=Params!$B$4)),"Bloqué",IF(AND(OR(N($G15)&gt;=Params!$D$4,N($H15)&gt;=Params!$E$4),N($I15)&lt;=Params!$F$3),"Persévérant",IF(AND(N($J15)&gt;=Params!$G$4,OR(N($G15)&lt;=Params!$D$3,N($H15)&lt;=Params!$E$3)),"Sporadique","Intermédiaire"))))))</f>
        <v>Efficace</v>
      </c>
      <c r="E15" s="6">
        <f t="array" ref="E15">XLOOKUP(A15, EQ!A:A, EQ!B:B, "")</f>
        <v>0</v>
      </c>
      <c r="F15" s="6">
        <f t="array" ref="F15">XLOOKUP(A15, RED!A:A, RED!B:B, "")</f>
        <v>0</v>
      </c>
      <c r="G15" s="3">
        <f t="shared" si="2"/>
        <v>18</v>
      </c>
      <c r="H15" s="3">
        <f t="shared" ref="H15:K15" si="15">XLOOKUP($A15, INDIRECT("'"&amp;H$1&amp;"'!A:A"), INDIRECT("'"&amp;H$1&amp;"'!B:B"), "")</f>
        <v>1</v>
      </c>
      <c r="I15" s="3">
        <f t="shared" si="15"/>
        <v>0.7777777778</v>
      </c>
      <c r="J15" s="3">
        <f t="shared" si="15"/>
        <v>0</v>
      </c>
      <c r="K15" s="3">
        <f t="shared" si="15"/>
        <v>0.73544978</v>
      </c>
    </row>
    <row r="16" ht="112.5" customHeight="1">
      <c r="A16" s="3" t="str">
        <f>EQ!A38</f>
        <v>5e8589d4cd67c4b88f84e378d72875ccd07de5c9e20cc666bbf217de9d3567b4</v>
      </c>
      <c r="B16" s="3">
        <f t="array" ref="B16">XLOOKUP(A16, Notes!A:A, Notes!B:B, "")</f>
        <v>89.45</v>
      </c>
      <c r="C16" s="3" t="str">
        <f>IFERROR(IMAGE(VLOOKUP(A16,DriveImages!A:C,3,FALSE),4,240,520),"")</f>
        <v/>
      </c>
      <c r="D16" s="3" t="str">
        <f>IF($A16="","",IF(AND(N($G16)&lt;=Params!$D$2,N($H16)&lt;=Params!$E$2),"Peu actif",IF(AND(N($I16)&gt;=Params!$F$4,N($E16)&lt;=Params!$B$2,N($F16)&lt;=Params!$C$2),"Efficace",IF(AND(N($F16)&gt;=Params!$C$4,OR(N($I16)&lt;=Params!$F$3,N($E16)&gt;=Params!$B$4)),"Bloqué",IF(AND(OR(N($G16)&gt;=Params!$D$4,N($H16)&gt;=Params!$E$4),N($I16)&lt;=Params!$F$3),"Persévérant",IF(AND(N($J16)&gt;=Params!$G$4,OR(N($G16)&lt;=Params!$D$3,N($H16)&lt;=Params!$E$3)),"Sporadique","Intermédiaire"))))))</f>
        <v>Efficace</v>
      </c>
      <c r="E16" s="6">
        <f t="array" ref="E16">XLOOKUP(A16, EQ!A:A, EQ!B:B, "")</f>
        <v>0</v>
      </c>
      <c r="F16" s="6">
        <f t="array" ref="F16">XLOOKUP(A16, RED!A:A, RED!B:B, "")</f>
        <v>0</v>
      </c>
      <c r="G16" s="3">
        <f t="shared" si="2"/>
        <v>23</v>
      </c>
      <c r="H16" s="3">
        <f t="shared" ref="H16:K16" si="16">XLOOKUP($A16, INDIRECT("'"&amp;H$1&amp;"'!A:A"), INDIRECT("'"&amp;H$1&amp;"'!B:B"), "")</f>
        <v>3</v>
      </c>
      <c r="I16" s="3">
        <f t="shared" si="16"/>
        <v>0.8695652174</v>
      </c>
      <c r="J16" s="3">
        <f t="shared" si="16"/>
        <v>0.09090909091</v>
      </c>
      <c r="K16" s="3">
        <f t="shared" si="16"/>
        <v>0.6788357</v>
      </c>
    </row>
    <row r="17" ht="112.5" customHeight="1">
      <c r="A17" s="3" t="str">
        <f>EQ!A18</f>
        <v>322817f4854f2f71b85db9d2e7c04e4a44c91ea866c689f277a658abc7d22b12</v>
      </c>
      <c r="B17" s="3">
        <f t="array" ref="B17">XLOOKUP(A17, Notes!A:A, Notes!B:B, "")</f>
        <v>35.44</v>
      </c>
      <c r="C17" s="3" t="str">
        <f>IFERROR(IMAGE(VLOOKUP(A17,DriveImages!A:C,3,FALSE),4,240,520),"")</f>
        <v/>
      </c>
      <c r="D17" s="3" t="str">
        <f>IF($A17="","",IF(AND(N($G17)&lt;=Params!$D$2,N($H17)&lt;=Params!$E$2),"Peu actif",IF(AND(N($I17)&gt;=Params!$F$4,N($E17)&lt;=Params!$B$2,N($F17)&lt;=Params!$C$2),"Efficace",IF(AND(N($F17)&gt;=Params!$C$4,OR(N($I17)&lt;=Params!$F$3,N($E17)&gt;=Params!$B$4)),"Bloqué",IF(AND(OR(N($G17)&gt;=Params!$D$4,N($H17)&gt;=Params!$E$4),N($I17)&lt;=Params!$F$3),"Persévérant",IF(AND(N($J17)&gt;=Params!$G$4,OR(N($G17)&lt;=Params!$D$3,N($H17)&lt;=Params!$E$3)),"Sporadique","Intermédiaire"))))))</f>
        <v>Efficace</v>
      </c>
      <c r="E17" s="6">
        <f t="array" ref="E17">XLOOKUP(A17, EQ!A:A, EQ!B:B, "")</f>
        <v>0</v>
      </c>
      <c r="F17" s="6">
        <f t="array" ref="F17">XLOOKUP(A17, RED!A:A, RED!B:B, "")</f>
        <v>0</v>
      </c>
      <c r="G17" s="3">
        <f t="shared" ref="G17:K17" si="17">XLOOKUP($A17, INDIRECT("'"&amp;G$1&amp;"'!A:A"), INDIRECT("'"&amp;G$1&amp;"'!B:B"), "")</f>
        <v>17</v>
      </c>
      <c r="H17" s="3">
        <f t="shared" si="17"/>
        <v>3</v>
      </c>
      <c r="I17" s="3">
        <f t="shared" si="17"/>
        <v>0.9411764706</v>
      </c>
      <c r="J17" s="3">
        <f t="shared" si="17"/>
        <v>0.125</v>
      </c>
      <c r="K17" s="3">
        <f t="shared" si="17"/>
        <v>0.67851659</v>
      </c>
    </row>
    <row r="18" ht="112.5" customHeight="1">
      <c r="A18" s="3" t="str">
        <f>EQ!A12</f>
        <v>22d436278c2d2678362e2b3102b5bfa9227eecad30f599801b730e0cc7acd1c6</v>
      </c>
      <c r="B18" s="3">
        <f t="array" ref="B18">XLOOKUP(A18, Notes!A:A, Notes!B:B, "")</f>
        <v>67.1</v>
      </c>
      <c r="C18" s="3" t="str">
        <f>IFERROR(IMAGE(VLOOKUP(A18,DriveImages!A:C,3,FALSE),4,240,520),"")</f>
        <v/>
      </c>
      <c r="D18" s="3" t="str">
        <f>IF($A18="","",IF(AND(N($G18)&lt;=Params!$D$2,N($H18)&lt;=Params!$E$2),"Peu actif",IF(AND(N($I18)&gt;=Params!$F$4,N($E18)&lt;=Params!$B$2,N($F18)&lt;=Params!$C$2),"Efficace",IF(AND(N($F18)&gt;=Params!$C$4,OR(N($I18)&lt;=Params!$F$3,N($E18)&gt;=Params!$B$4)),"Bloqué",IF(AND(OR(N($G18)&gt;=Params!$D$4,N($H18)&gt;=Params!$E$4),N($I18)&lt;=Params!$F$3),"Persévérant",IF(AND(N($J18)&gt;=Params!$G$4,OR(N($G18)&lt;=Params!$D$3,N($H18)&lt;=Params!$E$3)),"Sporadique","Intermédiaire"))))))</f>
        <v>Intermédiaire</v>
      </c>
      <c r="E18" s="6">
        <f t="array" ref="E18">XLOOKUP(A18, EQ!A:A, EQ!B:B, "")</f>
        <v>0.1428571429</v>
      </c>
      <c r="F18" s="6">
        <f t="array" ref="F18">XLOOKUP(A18, RED!A:A, RED!B:B, "")</f>
        <v>0.07142857</v>
      </c>
      <c r="G18" s="3">
        <f t="shared" ref="G18:G111" si="19">XLOOKUP(A18, INDIRECT("'"&amp;G$1&amp;"'!A:A"), INDIRECT("'"&amp;G$1&amp;"'!B:B"), "")</f>
        <v>13</v>
      </c>
      <c r="H18" s="3">
        <f t="shared" ref="H18:K18" si="18">XLOOKUP($A18, INDIRECT("'"&amp;H$1&amp;"'!A:A"), INDIRECT("'"&amp;H$1&amp;"'!B:B"), "")</f>
        <v>5</v>
      </c>
      <c r="I18" s="3">
        <f t="shared" si="18"/>
        <v>0.7692307692</v>
      </c>
      <c r="J18" s="3">
        <f t="shared" si="18"/>
        <v>0.3333333333</v>
      </c>
      <c r="K18" s="3">
        <f t="shared" si="18"/>
        <v>0.67445054</v>
      </c>
    </row>
    <row r="19" ht="112.5" customHeight="1">
      <c r="A19" s="3" t="str">
        <f>EQ!A16</f>
        <v>2a9dda5adde456cb4c1ec3735fde1d4591c3b0780ef3d82b8c7fed613382e82f</v>
      </c>
      <c r="B19" s="3">
        <f t="array" ref="B19">XLOOKUP(A19, Notes!A:A, Notes!B:B, "")</f>
        <v>77.44</v>
      </c>
      <c r="C19" s="3" t="str">
        <f>IFERROR(IMAGE(VLOOKUP(A19,DriveImages!A:C,3,FALSE),4,240,520),"")</f>
        <v/>
      </c>
      <c r="D19" s="3" t="str">
        <f>IF($A19="","",IF(AND(N($G19)&lt;=Params!$D$2,N($H19)&lt;=Params!$E$2),"Peu actif",IF(AND(N($I19)&gt;=Params!$F$4,N($E19)&lt;=Params!$B$2,N($F19)&lt;=Params!$C$2),"Efficace",IF(AND(N($F19)&gt;=Params!$C$4,OR(N($I19)&lt;=Params!$F$3,N($E19)&gt;=Params!$B$4)),"Bloqué",IF(AND(OR(N($G19)&gt;=Params!$D$4,N($H19)&gt;=Params!$E$4),N($I19)&lt;=Params!$F$3),"Persévérant",IF(AND(N($J19)&gt;=Params!$G$4,OR(N($G19)&lt;=Params!$D$3,N($H19)&lt;=Params!$E$3)),"Sporadique","Intermédiaire"))))))</f>
        <v>Intermédiaire</v>
      </c>
      <c r="E19" s="6">
        <f t="array" ref="E19">XLOOKUP(A19, EQ!A:A, EQ!B:B, "")</f>
        <v>0.375</v>
      </c>
      <c r="F19" s="6">
        <f t="array" ref="F19">XLOOKUP(A19, RED!A:A, RED!B:B, "")</f>
        <v>0.28125</v>
      </c>
      <c r="G19" s="3">
        <f t="shared" si="19"/>
        <v>17</v>
      </c>
      <c r="H19" s="3">
        <f t="shared" ref="H19:K19" si="20">XLOOKUP($A19, INDIRECT("'"&amp;H$1&amp;"'!A:A"), INDIRECT("'"&amp;H$1&amp;"'!B:B"), "")</f>
        <v>1</v>
      </c>
      <c r="I19" s="3">
        <f t="shared" si="20"/>
        <v>0.7058823529</v>
      </c>
      <c r="J19" s="3">
        <f t="shared" si="20"/>
        <v>0</v>
      </c>
      <c r="K19" s="3">
        <f t="shared" si="20"/>
        <v>0.66666671</v>
      </c>
    </row>
    <row r="20" ht="112.5" customHeight="1">
      <c r="A20" s="3" t="str">
        <f>EQ!A103</f>
        <v>f1adcb66d665ecba393da1490aca01e322bebd658ae2ef41aadee9ec7106def2</v>
      </c>
      <c r="B20" s="3">
        <f t="array" ref="B20">XLOOKUP(A20, Notes!A:A, Notes!B:B, "")</f>
        <v>93.16</v>
      </c>
      <c r="C20" s="3" t="str">
        <f>IFERROR(IMAGE(VLOOKUP(A20,DriveImages!A:C,3,FALSE),4,240,520),"")</f>
        <v/>
      </c>
      <c r="D20" s="3" t="str">
        <f>IF($A20="","",IF(AND(N($G20)&lt;=Params!$D$2,N($H20)&lt;=Params!$E$2),"Peu actif",IF(AND(N($I20)&gt;=Params!$F$4,N($E20)&lt;=Params!$B$2,N($F20)&lt;=Params!$C$2),"Efficace",IF(AND(N($F20)&gt;=Params!$C$4,OR(N($I20)&lt;=Params!$F$3,N($E20)&gt;=Params!$B$4)),"Bloqué",IF(AND(OR(N($G20)&gt;=Params!$D$4,N($H20)&gt;=Params!$E$4),N($I20)&lt;=Params!$F$3),"Persévérant",IF(AND(N($J20)&gt;=Params!$G$4,OR(N($G20)&lt;=Params!$D$3,N($H20)&lt;=Params!$E$3)),"Sporadique","Intermédiaire"))))))</f>
        <v>Efficace</v>
      </c>
      <c r="E20" s="6">
        <f t="array" ref="E20">XLOOKUP(A20, EQ!A:A, EQ!B:B, "")</f>
        <v>0</v>
      </c>
      <c r="F20" s="6">
        <f t="array" ref="F20">XLOOKUP(A20, RED!A:A, RED!B:B, "")</f>
        <v>0</v>
      </c>
      <c r="G20" s="3">
        <f t="shared" si="19"/>
        <v>4</v>
      </c>
      <c r="H20" s="3">
        <f t="shared" ref="H20:K20" si="21">XLOOKUP($A20, INDIRECT("'"&amp;H$1&amp;"'!A:A"), INDIRECT("'"&amp;H$1&amp;"'!B:B"), "")</f>
        <v>2</v>
      </c>
      <c r="I20" s="3">
        <f t="shared" si="21"/>
        <v>0.75</v>
      </c>
      <c r="J20" s="3">
        <f t="shared" si="21"/>
        <v>0.3333333333</v>
      </c>
      <c r="K20" s="3">
        <f t="shared" si="21"/>
        <v>0.659091</v>
      </c>
    </row>
    <row r="21" ht="112.5" customHeight="1">
      <c r="A21" s="3" t="str">
        <f>EQ!A64</f>
        <v>950ed53de307960251af3e387e595945da87494d2d2edf58b103f58f4ccfef78</v>
      </c>
      <c r="B21" s="3">
        <f t="array" ref="B21">XLOOKUP(A21, Notes!A:A, Notes!B:B, "")</f>
        <v>43.28</v>
      </c>
      <c r="C21" s="3" t="str">
        <f>IFERROR(IMAGE(VLOOKUP(A21,DriveImages!A:C,3,FALSE),4,240,520),"")</f>
        <v/>
      </c>
      <c r="D21" s="3" t="str">
        <f>IF($A21="","",IF(AND(N($G21)&lt;=Params!$D$2,N($H21)&lt;=Params!$E$2),"Peu actif",IF(AND(N($I21)&gt;=Params!$F$4,N($E21)&lt;=Params!$B$2,N($F21)&lt;=Params!$C$2),"Efficace",IF(AND(N($F21)&gt;=Params!$C$4,OR(N($I21)&lt;=Params!$F$3,N($E21)&gt;=Params!$B$4)),"Bloqué",IF(AND(OR(N($G21)&gt;=Params!$D$4,N($H21)&gt;=Params!$E$4),N($I21)&lt;=Params!$F$3),"Persévérant",IF(AND(N($J21)&gt;=Params!$G$4,OR(N($G21)&lt;=Params!$D$3,N($H21)&lt;=Params!$E$3)),"Sporadique","Intermédiaire"))))))</f>
        <v>Efficace</v>
      </c>
      <c r="E21" s="6">
        <f t="array" ref="E21">XLOOKUP(A21, EQ!A:A, EQ!B:B, "")</f>
        <v>0</v>
      </c>
      <c r="F21" s="6">
        <f t="array" ref="F21">XLOOKUP(A21, RED!A:A, RED!B:B, "")</f>
        <v>0</v>
      </c>
      <c r="G21" s="3">
        <f t="shared" si="19"/>
        <v>7</v>
      </c>
      <c r="H21" s="3">
        <f t="shared" ref="H21:K21" si="22">XLOOKUP($A21, INDIRECT("'"&amp;H$1&amp;"'!A:A"), INDIRECT("'"&amp;H$1&amp;"'!B:B"), "")</f>
        <v>3</v>
      </c>
      <c r="I21" s="3">
        <f t="shared" si="22"/>
        <v>0.8571428571</v>
      </c>
      <c r="J21" s="3">
        <f t="shared" si="22"/>
        <v>0.3333333333</v>
      </c>
      <c r="K21" s="3">
        <f t="shared" si="22"/>
        <v>0.65306129</v>
      </c>
    </row>
    <row r="22" ht="112.5" customHeight="1">
      <c r="A22" s="3" t="str">
        <f>EQ!A76</f>
        <v>b2c90b16a2864cf16993f00192cdb13ee656ac6cd53f745acd473a25224cd05d</v>
      </c>
      <c r="B22" s="3">
        <f t="array" ref="B22">XLOOKUP(A22, Notes!A:A, Notes!B:B, "")</f>
        <v>58.25</v>
      </c>
      <c r="C22" s="3" t="str">
        <f>IFERROR(IMAGE(VLOOKUP(A22,DriveImages!A:C,3,FALSE),4,240,520),"")</f>
        <v/>
      </c>
      <c r="D22" s="3" t="str">
        <f>IF($A22="","",IF(AND(N($G22)&lt;=Params!$D$2,N($H22)&lt;=Params!$E$2),"Peu actif",IF(AND(N($I22)&gt;=Params!$F$4,N($E22)&lt;=Params!$B$2,N($F22)&lt;=Params!$C$2),"Efficace",IF(AND(N($F22)&gt;=Params!$C$4,OR(N($I22)&lt;=Params!$F$3,N($E22)&gt;=Params!$B$4)),"Bloqué",IF(AND(OR(N($G22)&gt;=Params!$D$4,N($H22)&gt;=Params!$E$4),N($I22)&lt;=Params!$F$3),"Persévérant",IF(AND(N($J22)&gt;=Params!$G$4,OR(N($G22)&lt;=Params!$D$3,N($H22)&lt;=Params!$E$3)),"Sporadique","Intermédiaire"))))))</f>
        <v>Efficace</v>
      </c>
      <c r="E22" s="6">
        <f t="array" ref="E22">XLOOKUP(A22, EQ!A:A, EQ!B:B, "")</f>
        <v>0.07692307692</v>
      </c>
      <c r="F22" s="6">
        <f t="array" ref="F22">XLOOKUP(A22, RED!A:A, RED!B:B, "")</f>
        <v>0.03846154</v>
      </c>
      <c r="G22" s="3">
        <f t="shared" si="19"/>
        <v>21</v>
      </c>
      <c r="H22" s="3">
        <f t="shared" ref="H22:K22" si="23">XLOOKUP($A22, INDIRECT("'"&amp;H$1&amp;"'!A:A"), INDIRECT("'"&amp;H$1&amp;"'!B:B"), "")</f>
        <v>6</v>
      </c>
      <c r="I22" s="3">
        <f t="shared" si="23"/>
        <v>0.7619047619</v>
      </c>
      <c r="J22" s="3">
        <f t="shared" si="23"/>
        <v>0.25</v>
      </c>
      <c r="K22" s="3">
        <f t="shared" si="23"/>
        <v>0.64557824</v>
      </c>
    </row>
    <row r="23" ht="112.5" customHeight="1">
      <c r="A23" s="3" t="str">
        <f>EQ!A72</f>
        <v>ad1624c5c3a02a3a3b3dcb044b912998b64ca2e7cd54abe79476f86a41a3234b</v>
      </c>
      <c r="B23" s="3">
        <f t="array" ref="B23">XLOOKUP(A23, Notes!A:A, Notes!B:B, "")</f>
        <v>55.71</v>
      </c>
      <c r="C23" s="3" t="str">
        <f>IFERROR(IMAGE(VLOOKUP(A23,DriveImages!A:C,3,FALSE),4,240,520),"")</f>
        <v/>
      </c>
      <c r="D23" s="3" t="str">
        <f>IF($A23="","",IF(AND(N($G23)&lt;=Params!$D$2,N($H23)&lt;=Params!$E$2),"Peu actif",IF(AND(N($I23)&gt;=Params!$F$4,N($E23)&lt;=Params!$B$2,N($F23)&lt;=Params!$C$2),"Efficace",IF(AND(N($F23)&gt;=Params!$C$4,OR(N($I23)&lt;=Params!$F$3,N($E23)&gt;=Params!$B$4)),"Bloqué",IF(AND(OR(N($G23)&gt;=Params!$D$4,N($H23)&gt;=Params!$E$4),N($I23)&lt;=Params!$F$3),"Persévérant",IF(AND(N($J23)&gt;=Params!$G$4,OR(N($G23)&lt;=Params!$D$3,N($H23)&lt;=Params!$E$3)),"Sporadique","Intermédiaire"))))))</f>
        <v>Efficace</v>
      </c>
      <c r="E23" s="6">
        <f t="array" ref="E23">XLOOKUP(A23, EQ!A:A, EQ!B:B, "")</f>
        <v>0</v>
      </c>
      <c r="F23" s="6">
        <f t="array" ref="F23">XLOOKUP(A23, RED!A:A, RED!B:B, "")</f>
        <v>0</v>
      </c>
      <c r="G23" s="3">
        <f t="shared" si="19"/>
        <v>7</v>
      </c>
      <c r="H23" s="3">
        <f t="shared" ref="H23:K23" si="24">XLOOKUP($A23, INDIRECT("'"&amp;H$1&amp;"'!A:A"), INDIRECT("'"&amp;H$1&amp;"'!B:B"), "")</f>
        <v>3</v>
      </c>
      <c r="I23" s="3">
        <f t="shared" si="24"/>
        <v>0.8571428571</v>
      </c>
      <c r="J23" s="3">
        <f t="shared" si="24"/>
        <v>0.3333333333</v>
      </c>
      <c r="K23" s="3">
        <f t="shared" si="24"/>
        <v>0.63428571</v>
      </c>
    </row>
    <row r="24" ht="112.5" customHeight="1">
      <c r="A24" s="3" t="str">
        <f>EQ!A43</f>
        <v>6b6e8c7036722d03a34126403e7106d3512a2d4b72bcd8bde651614e8ad42d7b</v>
      </c>
      <c r="B24" s="3">
        <f t="array" ref="B24">XLOOKUP(A24, Notes!A:A, Notes!B:B, "")</f>
        <v>56.75</v>
      </c>
      <c r="C24" s="3" t="str">
        <f>IFERROR(IMAGE(VLOOKUP(A24,DriveImages!A:C,3,FALSE),4,240,520),"")</f>
        <v/>
      </c>
      <c r="D24" s="3" t="str">
        <f>IF($A24="","",IF(AND(N($G24)&lt;=Params!$D$2,N($H24)&lt;=Params!$E$2),"Peu actif",IF(AND(N($I24)&gt;=Params!$F$4,N($E24)&lt;=Params!$B$2,N($F24)&lt;=Params!$C$2),"Efficace",IF(AND(N($F24)&gt;=Params!$C$4,OR(N($I24)&lt;=Params!$F$3,N($E24)&gt;=Params!$B$4)),"Bloqué",IF(AND(OR(N($G24)&gt;=Params!$D$4,N($H24)&gt;=Params!$E$4),N($I24)&lt;=Params!$F$3),"Persévérant",IF(AND(N($J24)&gt;=Params!$G$4,OR(N($G24)&lt;=Params!$D$3,N($H24)&lt;=Params!$E$3)),"Sporadique","Intermédiaire"))))))</f>
        <v>Sporadique</v>
      </c>
      <c r="E24" s="6">
        <f t="array" ref="E24">XLOOKUP(A24, EQ!A:A, EQ!B:B, "")</f>
        <v>0.25</v>
      </c>
      <c r="F24" s="6">
        <f t="array" ref="F24">XLOOKUP(A24, RED!A:A, RED!B:B, "")</f>
        <v>0.125</v>
      </c>
      <c r="G24" s="3">
        <f t="shared" si="19"/>
        <v>6</v>
      </c>
      <c r="H24" s="3">
        <f t="shared" ref="H24:K24" si="25">XLOOKUP($A24, INDIRECT("'"&amp;H$1&amp;"'!A:A"), INDIRECT("'"&amp;H$1&amp;"'!B:B"), "")</f>
        <v>2</v>
      </c>
      <c r="I24" s="3">
        <f t="shared" si="25"/>
        <v>0.6666666667</v>
      </c>
      <c r="J24" s="3">
        <f t="shared" si="25"/>
        <v>0.2</v>
      </c>
      <c r="K24" s="3">
        <f t="shared" si="25"/>
        <v>0.63095233</v>
      </c>
    </row>
    <row r="25" ht="112.5" customHeight="1">
      <c r="A25" s="3" t="str">
        <f>EQ!A98</f>
        <v>e3d00c0bcfea6e4a68c5c4842d0bedac5e761cfa5be62ec60aae839f44a7f555</v>
      </c>
      <c r="B25" s="3">
        <f t="array" ref="B25">XLOOKUP(A25, Notes!A:A, Notes!B:B, "")</f>
        <v>62.59</v>
      </c>
      <c r="C25" s="3" t="str">
        <f>IFERROR(IMAGE(VLOOKUP(A25,DriveImages!A:C,3,FALSE),4,240,520),"")</f>
        <v/>
      </c>
      <c r="D25" s="3" t="str">
        <f>IF($A25="","",IF(AND(N($G25)&lt;=Params!$D$2,N($H25)&lt;=Params!$E$2),"Peu actif",IF(AND(N($I25)&gt;=Params!$F$4,N($E25)&lt;=Params!$B$2,N($F25)&lt;=Params!$C$2),"Efficace",IF(AND(N($F25)&gt;=Params!$C$4,OR(N($I25)&lt;=Params!$F$3,N($E25)&gt;=Params!$B$4)),"Bloqué",IF(AND(OR(N($G25)&gt;=Params!$D$4,N($H25)&gt;=Params!$E$4),N($I25)&lt;=Params!$F$3),"Persévérant",IF(AND(N($J25)&gt;=Params!$G$4,OR(N($G25)&lt;=Params!$D$3,N($H25)&lt;=Params!$E$3)),"Sporadique","Intermédiaire"))))))</f>
        <v>Efficace</v>
      </c>
      <c r="E25" s="6">
        <f t="array" ref="E25">XLOOKUP(A25, EQ!A:A, EQ!B:B, "")</f>
        <v>0</v>
      </c>
      <c r="F25" s="6">
        <f t="array" ref="F25">XLOOKUP(A25, RED!A:A, RED!B:B, "")</f>
        <v>0</v>
      </c>
      <c r="G25" s="3">
        <f t="shared" si="19"/>
        <v>12</v>
      </c>
      <c r="H25" s="3">
        <f t="shared" ref="H25:K25" si="26">XLOOKUP($A25, INDIRECT("'"&amp;H$1&amp;"'!A:A"), INDIRECT("'"&amp;H$1&amp;"'!B:B"), "")</f>
        <v>3</v>
      </c>
      <c r="I25" s="3">
        <f t="shared" si="26"/>
        <v>0.9166666667</v>
      </c>
      <c r="J25" s="3">
        <f t="shared" si="26"/>
        <v>0.1818181818</v>
      </c>
      <c r="K25" s="3">
        <f t="shared" si="26"/>
        <v>0.628788</v>
      </c>
    </row>
    <row r="26" ht="112.5" customHeight="1">
      <c r="A26" s="3" t="str">
        <f>EQ!A104</f>
        <v>f421319a6d338f4c75d9ce493c2ab35aa31da5115a045fb9149446903d5f1141</v>
      </c>
      <c r="B26" s="3">
        <f t="array" ref="B26">XLOOKUP(A26, Notes!A:A, Notes!B:B, "")</f>
        <v>72.98</v>
      </c>
      <c r="C26" s="3" t="str">
        <f>IFERROR(IMAGE(VLOOKUP(A26,DriveImages!A:C,3,FALSE),4,240,520),"")</f>
        <v/>
      </c>
      <c r="D26" s="3" t="str">
        <f>IF($A26="","",IF(AND(N($G26)&lt;=Params!$D$2,N($H26)&lt;=Params!$E$2),"Peu actif",IF(AND(N($I26)&gt;=Params!$F$4,N($E26)&lt;=Params!$B$2,N($F26)&lt;=Params!$C$2),"Efficace",IF(AND(N($F26)&gt;=Params!$C$4,OR(N($I26)&lt;=Params!$F$3,N($E26)&gt;=Params!$B$4)),"Bloqué",IF(AND(OR(N($G26)&gt;=Params!$D$4,N($H26)&gt;=Params!$E$4),N($I26)&lt;=Params!$F$3),"Persévérant",IF(AND(N($J26)&gt;=Params!$G$4,OR(N($G26)&lt;=Params!$D$3,N($H26)&lt;=Params!$E$3)),"Sporadique","Intermédiaire"))))))</f>
        <v>Intermédiaire</v>
      </c>
      <c r="E26" s="6">
        <f t="array" ref="E26">XLOOKUP(A26, EQ!A:A, EQ!B:B, "")</f>
        <v>0.4</v>
      </c>
      <c r="F26" s="6">
        <f t="array" ref="F26">XLOOKUP(A26, RED!A:A, RED!B:B, "")</f>
        <v>0.26666667</v>
      </c>
      <c r="G26" s="3">
        <f t="shared" si="19"/>
        <v>14</v>
      </c>
      <c r="H26" s="3">
        <f t="shared" ref="H26:K26" si="27">XLOOKUP($A26, INDIRECT("'"&amp;H$1&amp;"'!A:A"), INDIRECT("'"&amp;H$1&amp;"'!B:B"), "")</f>
        <v>2</v>
      </c>
      <c r="I26" s="3">
        <f t="shared" si="27"/>
        <v>0.6428571429</v>
      </c>
      <c r="J26" s="3">
        <f t="shared" si="27"/>
        <v>0.07692307692</v>
      </c>
      <c r="K26" s="3">
        <f t="shared" si="27"/>
        <v>0.622449</v>
      </c>
    </row>
    <row r="27" ht="112.5" customHeight="1">
      <c r="A27" s="3" t="str">
        <f>EQ!A21</f>
        <v>349cf265b30475874348c4e1b4520dc39d2668fe73f446cde11ed834aef06f6d</v>
      </c>
      <c r="B27" s="3">
        <f t="array" ref="B27">XLOOKUP(A27, Notes!A:A, Notes!B:B, "")</f>
        <v>69.17</v>
      </c>
      <c r="C27" s="3" t="str">
        <f>IFERROR(IMAGE(VLOOKUP(A27,DriveImages!A:C,3,FALSE),4,240,520),"")</f>
        <v/>
      </c>
      <c r="D27" s="3" t="str">
        <f>IF($A27="","",IF(AND(N($G27)&lt;=Params!$D$2,N($H27)&lt;=Params!$E$2),"Peu actif",IF(AND(N($I27)&gt;=Params!$F$4,N($E27)&lt;=Params!$B$2,N($F27)&lt;=Params!$C$2),"Efficace",IF(AND(N($F27)&gt;=Params!$C$4,OR(N($I27)&lt;=Params!$F$3,N($E27)&gt;=Params!$B$4)),"Bloqué",IF(AND(OR(N($G27)&gt;=Params!$D$4,N($H27)&gt;=Params!$E$4),N($I27)&lt;=Params!$F$3),"Persévérant",IF(AND(N($J27)&gt;=Params!$G$4,OR(N($G27)&lt;=Params!$D$3,N($H27)&lt;=Params!$E$3)),"Sporadique","Intermédiaire"))))))</f>
        <v>Intermédiaire</v>
      </c>
      <c r="E27" s="6">
        <f t="array" ref="E27">XLOOKUP(A27, EQ!A:A, EQ!B:B, "")</f>
        <v>0.2</v>
      </c>
      <c r="F27" s="6">
        <f t="array" ref="F27">XLOOKUP(A27, RED!A:A, RED!B:B, "")</f>
        <v>0.1</v>
      </c>
      <c r="G27" s="3">
        <f t="shared" si="19"/>
        <v>9</v>
      </c>
      <c r="H27" s="3">
        <f t="shared" ref="H27:K27" si="28">XLOOKUP($A27, INDIRECT("'"&amp;H$1&amp;"'!A:A"), INDIRECT("'"&amp;H$1&amp;"'!B:B"), "")</f>
        <v>2</v>
      </c>
      <c r="I27" s="3">
        <f t="shared" si="28"/>
        <v>0.6666666667</v>
      </c>
      <c r="J27" s="3">
        <f t="shared" si="28"/>
        <v>0.125</v>
      </c>
      <c r="K27" s="3">
        <f t="shared" si="28"/>
        <v>0.59788367</v>
      </c>
    </row>
    <row r="28" ht="112.5" customHeight="1">
      <c r="A28" s="3" t="str">
        <f>EQ!A25</f>
        <v>40c1d250c97702986524dae1c4014dbac4abddab4fbfd395737f4e2fe64a247d</v>
      </c>
      <c r="B28" s="3">
        <f t="array" ref="B28">XLOOKUP(A28, Notes!A:A, Notes!B:B, "")</f>
        <v>88.53</v>
      </c>
      <c r="C28" s="3" t="str">
        <f>IFERROR(IMAGE(VLOOKUP(A28,DriveImages!A:C,3,FALSE),4,240,520),"")</f>
        <v/>
      </c>
      <c r="D28" s="3" t="str">
        <f>IF($A28="","",IF(AND(N($G28)&lt;=Params!$D$2,N($H28)&lt;=Params!$E$2),"Peu actif",IF(AND(N($I28)&gt;=Params!$F$4,N($E28)&lt;=Params!$B$2,N($F28)&lt;=Params!$C$2),"Efficace",IF(AND(N($F28)&gt;=Params!$C$4,OR(N($I28)&lt;=Params!$F$3,N($E28)&gt;=Params!$B$4)),"Bloqué",IF(AND(OR(N($G28)&gt;=Params!$D$4,N($H28)&gt;=Params!$E$4),N($I28)&lt;=Params!$F$3),"Persévérant",IF(AND(N($J28)&gt;=Params!$G$4,OR(N($G28)&lt;=Params!$D$3,N($H28)&lt;=Params!$E$3)),"Sporadique","Intermédiaire"))))))</f>
        <v>Intermédiaire</v>
      </c>
      <c r="E28" s="6">
        <f t="array" ref="E28">XLOOKUP(A28, EQ!A:A, EQ!B:B, "")</f>
        <v>0.2</v>
      </c>
      <c r="F28" s="6">
        <f t="array" ref="F28">XLOOKUP(A28, RED!A:A, RED!B:B, "")</f>
        <v>0.1375</v>
      </c>
      <c r="G28" s="3">
        <f t="shared" si="19"/>
        <v>30</v>
      </c>
      <c r="H28" s="3">
        <f t="shared" ref="H28:K28" si="29">XLOOKUP($A28, INDIRECT("'"&amp;H$1&amp;"'!A:A"), INDIRECT("'"&amp;H$1&amp;"'!B:B"), "")</f>
        <v>2</v>
      </c>
      <c r="I28" s="3">
        <f t="shared" si="29"/>
        <v>0.6333333333</v>
      </c>
      <c r="J28" s="3">
        <f t="shared" si="29"/>
        <v>0.03448275862</v>
      </c>
      <c r="K28" s="3">
        <f t="shared" si="29"/>
        <v>0.561137</v>
      </c>
    </row>
    <row r="29" ht="112.5" customHeight="1">
      <c r="A29" s="3" t="str">
        <f>EQ!A102</f>
        <v>effa5fafd71a87510e477792561dc4c6a0d7a624d93f5ee78db77ac7c2a41d63</v>
      </c>
      <c r="B29" s="3">
        <f t="array" ref="B29">XLOOKUP(A29, Notes!A:A, Notes!B:B, "")</f>
        <v>63.66</v>
      </c>
      <c r="C29" s="3" t="str">
        <f>IFERROR(IMAGE(VLOOKUP(A29,DriveImages!A:C,3,FALSE),4,240,520),"")</f>
        <v/>
      </c>
      <c r="D29" s="3" t="str">
        <f>IF($A29="","",IF(AND(N($G29)&lt;=Params!$D$2,N($H29)&lt;=Params!$E$2),"Peu actif",IF(AND(N($I29)&gt;=Params!$F$4,N($E29)&lt;=Params!$B$2,N($F29)&lt;=Params!$C$2),"Efficace",IF(AND(N($F29)&gt;=Params!$C$4,OR(N($I29)&lt;=Params!$F$3,N($E29)&gt;=Params!$B$4)),"Bloqué",IF(AND(OR(N($G29)&gt;=Params!$D$4,N($H29)&gt;=Params!$E$4),N($I29)&lt;=Params!$F$3),"Persévérant",IF(AND(N($J29)&gt;=Params!$G$4,OR(N($G29)&lt;=Params!$D$3,N($H29)&lt;=Params!$E$3)),"Sporadique","Intermédiaire"))))))</f>
        <v>Intermédiaire</v>
      </c>
      <c r="E29" s="6">
        <f t="array" ref="E29">XLOOKUP(A29, EQ!A:A, EQ!B:B, "")</f>
        <v>0.2142857143</v>
      </c>
      <c r="F29" s="6">
        <f t="array" ref="F29">XLOOKUP(A29, RED!A:A, RED!B:B, "")</f>
        <v>0.16190476</v>
      </c>
      <c r="G29" s="3">
        <f t="shared" si="19"/>
        <v>33</v>
      </c>
      <c r="H29" s="3">
        <f t="shared" ref="H29:K29" si="30">XLOOKUP($A29, INDIRECT("'"&amp;H$1&amp;"'!A:A"), INDIRECT("'"&amp;H$1&amp;"'!B:B"), "")</f>
        <v>2</v>
      </c>
      <c r="I29" s="3">
        <f t="shared" si="30"/>
        <v>0.696969697</v>
      </c>
      <c r="J29" s="3">
        <f t="shared" si="30"/>
        <v>0.03125</v>
      </c>
      <c r="K29" s="3">
        <f t="shared" si="30"/>
        <v>0.55661003</v>
      </c>
    </row>
    <row r="30" ht="112.5" customHeight="1">
      <c r="A30" s="3" t="str">
        <f>EQ!A59</f>
        <v>8c496c831c776415f7491e6de8457bb88c62eefeff270c8e0dbec39b78b9413d</v>
      </c>
      <c r="B30" s="3">
        <f t="array" ref="B30">XLOOKUP(A30, Notes!A:A, Notes!B:B, "")</f>
        <v>72.99</v>
      </c>
      <c r="C30" s="3" t="str">
        <f>IFERROR(IMAGE(VLOOKUP(A30,DriveImages!A:C,3,FALSE),4,240,520),"")</f>
        <v/>
      </c>
      <c r="D30" s="3" t="str">
        <f>IF($A30="","",IF(AND(N($G30)&lt;=Params!$D$2,N($H30)&lt;=Params!$E$2),"Peu actif",IF(AND(N($I30)&gt;=Params!$F$4,N($E30)&lt;=Params!$B$2,N($F30)&lt;=Params!$C$2),"Efficace",IF(AND(N($F30)&gt;=Params!$C$4,OR(N($I30)&lt;=Params!$F$3,N($E30)&gt;=Params!$B$4)),"Bloqué",IF(AND(OR(N($G30)&gt;=Params!$D$4,N($H30)&gt;=Params!$E$4),N($I30)&lt;=Params!$F$3),"Persévérant",IF(AND(N($J30)&gt;=Params!$G$4,OR(N($G30)&lt;=Params!$D$3,N($H30)&lt;=Params!$E$3)),"Sporadique","Intermédiaire"))))))</f>
        <v>Sporadique</v>
      </c>
      <c r="E30" s="6">
        <f t="array" ref="E30">XLOOKUP(A30, EQ!A:A, EQ!B:B, "")</f>
        <v>0</v>
      </c>
      <c r="F30" s="6">
        <f t="array" ref="F30">XLOOKUP(A30, RED!A:A, RED!B:B, "")</f>
        <v>0</v>
      </c>
      <c r="G30" s="3">
        <f t="shared" si="19"/>
        <v>10</v>
      </c>
      <c r="H30" s="3">
        <f t="shared" ref="H30:K30" si="31">XLOOKUP($A30, INDIRECT("'"&amp;H$1&amp;"'!A:A"), INDIRECT("'"&amp;H$1&amp;"'!B:B"), "")</f>
        <v>3</v>
      </c>
      <c r="I30" s="3">
        <f t="shared" si="31"/>
        <v>0.6</v>
      </c>
      <c r="J30" s="3">
        <f t="shared" si="31"/>
        <v>0.2222222222</v>
      </c>
      <c r="K30" s="3">
        <f t="shared" si="31"/>
        <v>0.5466667</v>
      </c>
    </row>
    <row r="31" ht="112.5" customHeight="1">
      <c r="A31" s="3" t="str">
        <f>EQ!A41</f>
        <v>6a91389bf293538f8bfd1747ffc38730176f9e72e8ed7004fabc8cd25e69df6b</v>
      </c>
      <c r="B31" s="3">
        <f t="array" ref="B31">XLOOKUP(A31, Notes!A:A, Notes!B:B, "")</f>
        <v>42.53</v>
      </c>
      <c r="C31" s="3" t="str">
        <f>IFERROR(IMAGE(VLOOKUP(A31,DriveImages!A:C,3,FALSE),4,240,520),"")</f>
        <v/>
      </c>
      <c r="D31" s="3" t="str">
        <f>IF($A31="","",IF(AND(N($G31)&lt;=Params!$D$2,N($H31)&lt;=Params!$E$2),"Peu actif",IF(AND(N($I31)&gt;=Params!$F$4,N($E31)&lt;=Params!$B$2,N($F31)&lt;=Params!$C$2),"Efficace",IF(AND(N($F31)&gt;=Params!$C$4,OR(N($I31)&lt;=Params!$F$3,N($E31)&gt;=Params!$B$4)),"Bloqué",IF(AND(OR(N($G31)&gt;=Params!$D$4,N($H31)&gt;=Params!$E$4),N($I31)&lt;=Params!$F$3),"Persévérant",IF(AND(N($J31)&gt;=Params!$G$4,OR(N($G31)&lt;=Params!$D$3,N($H31)&lt;=Params!$E$3)),"Sporadique","Intermédiaire"))))))</f>
        <v>Efficace</v>
      </c>
      <c r="E31" s="6">
        <f t="array" ref="E31">XLOOKUP(A31, EQ!A:A, EQ!B:B, "")</f>
        <v>0</v>
      </c>
      <c r="F31" s="6">
        <f t="array" ref="F31">XLOOKUP(A31, RED!A:A, RED!B:B, "")</f>
        <v>0</v>
      </c>
      <c r="G31" s="3">
        <f t="shared" si="19"/>
        <v>12</v>
      </c>
      <c r="H31" s="3">
        <f t="shared" ref="H31:K31" si="32">XLOOKUP($A31, INDIRECT("'"&amp;H$1&amp;"'!A:A"), INDIRECT("'"&amp;H$1&amp;"'!B:B"), "")</f>
        <v>2</v>
      </c>
      <c r="I31" s="3">
        <f t="shared" si="32"/>
        <v>1</v>
      </c>
      <c r="J31" s="3">
        <f t="shared" si="32"/>
        <v>0.09090909091</v>
      </c>
      <c r="K31" s="3">
        <f t="shared" si="32"/>
        <v>0.5345455</v>
      </c>
    </row>
    <row r="32" ht="112.5" customHeight="1">
      <c r="A32" s="3" t="str">
        <f>EQ!A50</f>
        <v>76b0bf253c0d17b6f275cc641729eda42ebed851893da32c132515023ab1e4e1</v>
      </c>
      <c r="B32" s="3">
        <f t="array" ref="B32">XLOOKUP(A32, Notes!A:A, Notes!B:B, "")</f>
        <v>62.06</v>
      </c>
      <c r="C32" s="3" t="str">
        <f>IFERROR(IMAGE(VLOOKUP(A32,DriveImages!A:C,3,FALSE),4,240,520),"")</f>
        <v/>
      </c>
      <c r="D32" s="3" t="str">
        <f>IF($A32="","",IF(AND(N($G32)&lt;=Params!$D$2,N($H32)&lt;=Params!$E$2),"Peu actif",IF(AND(N($I32)&gt;=Params!$F$4,N($E32)&lt;=Params!$B$2,N($F32)&lt;=Params!$C$2),"Efficace",IF(AND(N($F32)&gt;=Params!$C$4,OR(N($I32)&lt;=Params!$F$3,N($E32)&gt;=Params!$B$4)),"Bloqué",IF(AND(OR(N($G32)&gt;=Params!$D$4,N($H32)&gt;=Params!$E$4),N($I32)&lt;=Params!$F$3),"Persévérant",IF(AND(N($J32)&gt;=Params!$G$4,OR(N($G32)&lt;=Params!$D$3,N($H32)&lt;=Params!$E$3)),"Sporadique","Intermédiaire"))))))</f>
        <v>Intermédiaire</v>
      </c>
      <c r="E32" s="6">
        <f t="array" ref="E32">XLOOKUP(A32, EQ!A:A, EQ!B:B, "")</f>
        <v>0.3333333333</v>
      </c>
      <c r="F32" s="6">
        <f t="array" ref="F32">XLOOKUP(A32, RED!A:A, RED!B:B, "")</f>
        <v>0.22222222</v>
      </c>
      <c r="G32" s="3">
        <f t="shared" si="19"/>
        <v>11</v>
      </c>
      <c r="H32" s="3">
        <f t="shared" ref="H32:K32" si="33">XLOOKUP($A32, INDIRECT("'"&amp;H$1&amp;"'!A:A"), INDIRECT("'"&amp;H$1&amp;"'!B:B"), "")</f>
        <v>2</v>
      </c>
      <c r="I32" s="3">
        <f t="shared" si="33"/>
        <v>0.5454545455</v>
      </c>
      <c r="J32" s="3">
        <f t="shared" si="33"/>
        <v>0.1</v>
      </c>
      <c r="K32" s="3">
        <f t="shared" si="33"/>
        <v>0.53409091</v>
      </c>
    </row>
    <row r="33" ht="112.5" customHeight="1">
      <c r="A33" s="3" t="str">
        <f>EQ!A63</f>
        <v>93a7aef5296e288f3a39f8c1c0dcb8935c9657f5c87378408e5d1910444e7c70</v>
      </c>
      <c r="B33" s="3">
        <f t="array" ref="B33">XLOOKUP(A33, Notes!A:A, Notes!B:B, "")</f>
        <v>61.57</v>
      </c>
      <c r="C33" s="3" t="str">
        <f>IFERROR(IMAGE(VLOOKUP(A33,DriveImages!A:C,3,FALSE),4,240,520),"")</f>
        <v/>
      </c>
      <c r="D33" s="3" t="str">
        <f>IF($A33="","",IF(AND(N($G33)&lt;=Params!$D$2,N($H33)&lt;=Params!$E$2),"Peu actif",IF(AND(N($I33)&gt;=Params!$F$4,N($E33)&lt;=Params!$B$2,N($F33)&lt;=Params!$C$2),"Efficace",IF(AND(N($F33)&gt;=Params!$C$4,OR(N($I33)&lt;=Params!$F$3,N($E33)&gt;=Params!$B$4)),"Bloqué",IF(AND(OR(N($G33)&gt;=Params!$D$4,N($H33)&gt;=Params!$E$4),N($I33)&lt;=Params!$F$3),"Persévérant",IF(AND(N($J33)&gt;=Params!$G$4,OR(N($G33)&lt;=Params!$D$3,N($H33)&lt;=Params!$E$3)),"Sporadique","Intermédiaire"))))))</f>
        <v>Intermédiaire</v>
      </c>
      <c r="E33" s="6">
        <f t="array" ref="E33">XLOOKUP(A33, EQ!A:A, EQ!B:B, "")</f>
        <v>0.5833333333</v>
      </c>
      <c r="F33" s="6">
        <f t="array" ref="F33">XLOOKUP(A33, RED!A:A, RED!B:B, "")</f>
        <v>0.51041667</v>
      </c>
      <c r="G33" s="3">
        <f t="shared" si="19"/>
        <v>20</v>
      </c>
      <c r="H33" s="3">
        <f t="shared" ref="H33:K33" si="34">XLOOKUP($A33, INDIRECT("'"&amp;H$1&amp;"'!A:A"), INDIRECT("'"&amp;H$1&amp;"'!B:B"), "")</f>
        <v>4</v>
      </c>
      <c r="I33" s="3">
        <f t="shared" si="34"/>
        <v>0.55</v>
      </c>
      <c r="J33" s="3">
        <f t="shared" si="34"/>
        <v>0.1578947368</v>
      </c>
      <c r="K33" s="3">
        <f t="shared" si="34"/>
        <v>0.53333335</v>
      </c>
    </row>
    <row r="34" ht="112.5" customHeight="1">
      <c r="A34" s="3" t="str">
        <f>EQ!A11</f>
        <v>155464e7a35faffd6b3b4f2e6b757098204e8a24221641b58ee8156acfd2e1fc</v>
      </c>
      <c r="B34" s="3">
        <f t="array" ref="B34">XLOOKUP(A34, Notes!A:A, Notes!B:B, "")</f>
        <v>77.78</v>
      </c>
      <c r="C34" s="3" t="str">
        <f>IFERROR(IMAGE(VLOOKUP(A34,DriveImages!A:C,3,FALSE),4,240,520),"")</f>
        <v/>
      </c>
      <c r="D34" s="3" t="str">
        <f>IF($A34="","",IF(AND(N($G34)&lt;=Params!$D$2,N($H34)&lt;=Params!$E$2),"Peu actif",IF(AND(N($I34)&gt;=Params!$F$4,N($E34)&lt;=Params!$B$2,N($F34)&lt;=Params!$C$2),"Efficace",IF(AND(N($F34)&gt;=Params!$C$4,OR(N($I34)&lt;=Params!$F$3,N($E34)&gt;=Params!$B$4)),"Bloqué",IF(AND(OR(N($G34)&gt;=Params!$D$4,N($H34)&gt;=Params!$E$4),N($I34)&lt;=Params!$F$3),"Persévérant",IF(AND(N($J34)&gt;=Params!$G$4,OR(N($G34)&lt;=Params!$D$3,N($H34)&lt;=Params!$E$3)),"Sporadique","Intermédiaire"))))))</f>
        <v>Intermédiaire</v>
      </c>
      <c r="E34" s="6">
        <f t="array" ref="E34">XLOOKUP(A34, EQ!A:A, EQ!B:B, "")</f>
        <v>0.25</v>
      </c>
      <c r="F34" s="6">
        <f t="array" ref="F34">XLOOKUP(A34, RED!A:A, RED!B:B, "")</f>
        <v>0.16666667</v>
      </c>
      <c r="G34" s="3">
        <f t="shared" si="19"/>
        <v>10</v>
      </c>
      <c r="H34" s="3">
        <f t="shared" ref="H34:K34" si="35">XLOOKUP($A34, INDIRECT("'"&amp;H$1&amp;"'!A:A"), INDIRECT("'"&amp;H$1&amp;"'!B:B"), "")</f>
        <v>1</v>
      </c>
      <c r="I34" s="3">
        <f t="shared" si="35"/>
        <v>0.6</v>
      </c>
      <c r="J34" s="3">
        <f t="shared" si="35"/>
        <v>0</v>
      </c>
      <c r="K34" s="3">
        <f t="shared" si="35"/>
        <v>0.5251552</v>
      </c>
    </row>
    <row r="35" ht="112.5" customHeight="1">
      <c r="A35" s="3" t="str">
        <f>EQ!A97</f>
        <v>de14d69ecb05cea275dcf6a7cb707626315f3e81931958d7d7b15131368cf4d6</v>
      </c>
      <c r="B35" s="3">
        <f t="array" ref="B35">XLOOKUP(A35, Notes!A:A, Notes!B:B, "")</f>
        <v>57.33</v>
      </c>
      <c r="C35" s="3" t="str">
        <f>IFERROR(IMAGE(VLOOKUP(A35,DriveImages!A:C,3,FALSE),4,240,520),"")</f>
        <v/>
      </c>
      <c r="D35" s="3" t="str">
        <f>IF($A35="","",IF(AND(N($G35)&lt;=Params!$D$2,N($H35)&lt;=Params!$E$2),"Peu actif",IF(AND(N($I35)&gt;=Params!$F$4,N($E35)&lt;=Params!$B$2,N($F35)&lt;=Params!$C$2),"Efficace",IF(AND(N($F35)&gt;=Params!$C$4,OR(N($I35)&lt;=Params!$F$3,N($E35)&gt;=Params!$B$4)),"Bloqué",IF(AND(OR(N($G35)&gt;=Params!$D$4,N($H35)&gt;=Params!$E$4),N($I35)&lt;=Params!$F$3),"Persévérant",IF(AND(N($J35)&gt;=Params!$G$4,OR(N($G35)&lt;=Params!$D$3,N($H35)&lt;=Params!$E$3)),"Sporadique","Intermédiaire"))))))</f>
        <v>Sporadique</v>
      </c>
      <c r="E35" s="6">
        <f t="array" ref="E35">XLOOKUP(A35, EQ!A:A, EQ!B:B, "")</f>
        <v>0</v>
      </c>
      <c r="F35" s="6">
        <f t="array" ref="F35">XLOOKUP(A35, RED!A:A, RED!B:B, "")</f>
        <v>0</v>
      </c>
      <c r="G35" s="3">
        <f t="shared" si="19"/>
        <v>9</v>
      </c>
      <c r="H35" s="3">
        <f t="shared" ref="H35:K35" si="36">XLOOKUP($A35, INDIRECT("'"&amp;H$1&amp;"'!A:A"), INDIRECT("'"&amp;H$1&amp;"'!B:B"), "")</f>
        <v>3</v>
      </c>
      <c r="I35" s="3">
        <f t="shared" si="36"/>
        <v>0.5555555556</v>
      </c>
      <c r="J35" s="3">
        <f t="shared" si="36"/>
        <v>0.25</v>
      </c>
      <c r="K35" s="3">
        <f t="shared" si="36"/>
        <v>0.50448578</v>
      </c>
    </row>
    <row r="36" ht="112.5" customHeight="1">
      <c r="A36" s="3" t="str">
        <f>EQ!A61</f>
        <v>9181e670a018653889d5263448f199379588274b90c51348445093423b56396b</v>
      </c>
      <c r="B36" s="3">
        <f t="array" ref="B36">XLOOKUP(A36, Notes!A:A, Notes!B:B, "")</f>
        <v>62.16</v>
      </c>
      <c r="C36" s="3" t="str">
        <f>IFERROR(IMAGE(VLOOKUP(A36,DriveImages!A:C,3,FALSE),4,240,520),"")</f>
        <v/>
      </c>
      <c r="D36" s="3" t="str">
        <f>IF($A36="","",IF(AND(N($G36)&lt;=Params!$D$2,N($H36)&lt;=Params!$E$2),"Peu actif",IF(AND(N($I36)&gt;=Params!$F$4,N($E36)&lt;=Params!$B$2,N($F36)&lt;=Params!$C$2),"Efficace",IF(AND(N($F36)&gt;=Params!$C$4,OR(N($I36)&lt;=Params!$F$3,N($E36)&gt;=Params!$B$4)),"Bloqué",IF(AND(OR(N($G36)&gt;=Params!$D$4,N($H36)&gt;=Params!$E$4),N($I36)&lt;=Params!$F$3),"Persévérant",IF(AND(N($J36)&gt;=Params!$G$4,OR(N($G36)&lt;=Params!$D$3,N($H36)&lt;=Params!$E$3)),"Sporadique","Intermédiaire"))))))</f>
        <v>Intermédiaire</v>
      </c>
      <c r="E36" s="6">
        <f t="array" ref="E36">XLOOKUP(A36, EQ!A:A, EQ!B:B, "")</f>
        <v>0.2083333333</v>
      </c>
      <c r="F36" s="6">
        <f t="array" ref="F36">XLOOKUP(A36, RED!A:A, RED!B:B, "")</f>
        <v>0.13541667</v>
      </c>
      <c r="G36" s="3">
        <f t="shared" si="19"/>
        <v>31</v>
      </c>
      <c r="H36" s="3">
        <f t="shared" ref="H36:K36" si="37">XLOOKUP($A36, INDIRECT("'"&amp;H$1&amp;"'!A:A"), INDIRECT("'"&amp;H$1&amp;"'!B:B"), "")</f>
        <v>1</v>
      </c>
      <c r="I36" s="3">
        <f t="shared" si="37"/>
        <v>0.6129032258</v>
      </c>
      <c r="J36" s="3">
        <f t="shared" si="37"/>
        <v>0</v>
      </c>
      <c r="K36" s="3">
        <f t="shared" si="37"/>
        <v>0.50194326</v>
      </c>
    </row>
    <row r="37" ht="112.5" customHeight="1">
      <c r="A37" s="3" t="str">
        <f>EQ!A88</f>
        <v>cef23c3f251969f778435219b38afa60f2e41b3927e82fa6d43de8c59f93f883</v>
      </c>
      <c r="B37" s="3">
        <f t="array" ref="B37">XLOOKUP(A37, Notes!A:A, Notes!B:B, "")</f>
        <v>71.09</v>
      </c>
      <c r="C37" s="3" t="str">
        <f>IFERROR(IMAGE(VLOOKUP(A37,DriveImages!A:C,3,FALSE),4,240,520),"")</f>
        <v/>
      </c>
      <c r="D37" s="3" t="str">
        <f>IF($A37="","",IF(AND(N($G37)&lt;=Params!$D$2,N($H37)&lt;=Params!$E$2),"Peu actif",IF(AND(N($I37)&gt;=Params!$F$4,N($E37)&lt;=Params!$B$2,N($F37)&lt;=Params!$C$2),"Efficace",IF(AND(N($F37)&gt;=Params!$C$4,OR(N($I37)&lt;=Params!$F$3,N($E37)&gt;=Params!$B$4)),"Bloqué",IF(AND(OR(N($G37)&gt;=Params!$D$4,N($H37)&gt;=Params!$E$4),N($I37)&lt;=Params!$F$3),"Persévérant",IF(AND(N($J37)&gt;=Params!$G$4,OR(N($G37)&lt;=Params!$D$3,N($H37)&lt;=Params!$E$3)),"Sporadique","Intermédiaire"))))))</f>
        <v>Intermédiaire</v>
      </c>
      <c r="E37" s="6">
        <f t="array" ref="E37">XLOOKUP(A37, EQ!A:A, EQ!B:B, "")</f>
        <v>0.3043478261</v>
      </c>
      <c r="F37" s="6">
        <f t="array" ref="F37">XLOOKUP(A37, RED!A:A, RED!B:B, "")</f>
        <v>0.2173913</v>
      </c>
      <c r="G37" s="3">
        <f t="shared" si="19"/>
        <v>36</v>
      </c>
      <c r="H37" s="3">
        <f t="shared" ref="H37:K37" si="38">XLOOKUP($A37, INDIRECT("'"&amp;H$1&amp;"'!A:A"), INDIRECT("'"&amp;H$1&amp;"'!B:B"), "")</f>
        <v>2</v>
      </c>
      <c r="I37" s="3">
        <f t="shared" si="38"/>
        <v>0.6111111111</v>
      </c>
      <c r="J37" s="3">
        <f t="shared" si="38"/>
        <v>0.02857142857</v>
      </c>
      <c r="K37" s="3">
        <f t="shared" si="38"/>
        <v>0.49802858</v>
      </c>
    </row>
    <row r="38" ht="112.5" customHeight="1">
      <c r="A38" s="3" t="str">
        <f>EQ!A57</f>
        <v>88faa9b4e525ea83f6efab60ae88469da5222f0b0f52c16c3af4e4763baa1daf</v>
      </c>
      <c r="B38" s="3">
        <f t="array" ref="B38">XLOOKUP(A38, Notes!A:A, Notes!B:B, "")</f>
        <v>59.75</v>
      </c>
      <c r="C38" s="3" t="str">
        <f>IFERROR(IMAGE(VLOOKUP(A38,DriveImages!A:C,3,FALSE),4,240,520),"")</f>
        <v/>
      </c>
      <c r="D38" s="3" t="str">
        <f>IF($A38="","",IF(AND(N($G38)&lt;=Params!$D$2,N($H38)&lt;=Params!$E$2),"Peu actif",IF(AND(N($I38)&gt;=Params!$F$4,N($E38)&lt;=Params!$B$2,N($F38)&lt;=Params!$C$2),"Efficace",IF(AND(N($F38)&gt;=Params!$C$4,OR(N($I38)&lt;=Params!$F$3,N($E38)&gt;=Params!$B$4)),"Bloqué",IF(AND(OR(N($G38)&gt;=Params!$D$4,N($H38)&gt;=Params!$E$4),N($I38)&lt;=Params!$F$3),"Persévérant",IF(AND(N($J38)&gt;=Params!$G$4,OR(N($G38)&lt;=Params!$D$3,N($H38)&lt;=Params!$E$3)),"Sporadique","Intermédiaire"))))))</f>
        <v>Intermédiaire</v>
      </c>
      <c r="E38" s="6">
        <f t="array" ref="E38">XLOOKUP(A38, EQ!A:A, EQ!B:B, "")</f>
        <v>0.1666666667</v>
      </c>
      <c r="F38" s="6">
        <f t="array" ref="F38">XLOOKUP(A38, RED!A:A, RED!B:B, "")</f>
        <v>0.11111111</v>
      </c>
      <c r="G38" s="3">
        <f t="shared" si="19"/>
        <v>14</v>
      </c>
      <c r="H38" s="3">
        <f t="shared" ref="H38:K38" si="39">XLOOKUP($A38, INDIRECT("'"&amp;H$1&amp;"'!A:A"), INDIRECT("'"&amp;H$1&amp;"'!B:B"), "")</f>
        <v>1</v>
      </c>
      <c r="I38" s="3">
        <f t="shared" si="39"/>
        <v>0.6428571429</v>
      </c>
      <c r="J38" s="3">
        <f t="shared" si="39"/>
        <v>0</v>
      </c>
      <c r="K38" s="3">
        <f t="shared" si="39"/>
        <v>0.48701307</v>
      </c>
    </row>
    <row r="39" ht="112.5" customHeight="1">
      <c r="A39" s="3" t="str">
        <f>EQ!A109</f>
        <v>fcc829e7dd1db87335c46064982f06853c8a5c39399202b284952458b04f0d5d</v>
      </c>
      <c r="B39" s="3">
        <f t="array" ref="B39">XLOOKUP(A39, Notes!A:A, Notes!B:B, "")</f>
        <v>53.91</v>
      </c>
      <c r="C39" s="3" t="str">
        <f>IFERROR(IMAGE(VLOOKUP(A39,DriveImages!A:C,3,FALSE),4,240,520),"")</f>
        <v/>
      </c>
      <c r="D39" s="3" t="str">
        <f>IF($A39="","",IF(AND(N($G39)&lt;=Params!$D$2,N($H39)&lt;=Params!$E$2),"Peu actif",IF(AND(N($I39)&gt;=Params!$F$4,N($E39)&lt;=Params!$B$2,N($F39)&lt;=Params!$C$2),"Efficace",IF(AND(N($F39)&gt;=Params!$C$4,OR(N($I39)&lt;=Params!$F$3,N($E39)&gt;=Params!$B$4)),"Bloqué",IF(AND(OR(N($G39)&gt;=Params!$D$4,N($H39)&gt;=Params!$E$4),N($I39)&lt;=Params!$F$3),"Persévérant",IF(AND(N($J39)&gt;=Params!$G$4,OR(N($G39)&lt;=Params!$D$3,N($H39)&lt;=Params!$E$3)),"Sporadique","Intermédiaire"))))))</f>
        <v>Intermédiaire</v>
      </c>
      <c r="E39" s="6">
        <f t="array" ref="E39">XLOOKUP(A39, EQ!A:A, EQ!B:B, "")</f>
        <v>0.2727272727</v>
      </c>
      <c r="F39" s="6">
        <f t="array" ref="F39">XLOOKUP(A39, RED!A:A, RED!B:B, "")</f>
        <v>0.16666667</v>
      </c>
      <c r="G39" s="3">
        <f t="shared" si="19"/>
        <v>13</v>
      </c>
      <c r="H39" s="3">
        <f t="shared" ref="H39:K39" si="40">XLOOKUP($A39, INDIRECT("'"&amp;H$1&amp;"'!A:A"), INDIRECT("'"&amp;H$1&amp;"'!B:B"), "")</f>
        <v>3</v>
      </c>
      <c r="I39" s="3">
        <f t="shared" si="40"/>
        <v>0.6153846154</v>
      </c>
      <c r="J39" s="3">
        <f t="shared" si="40"/>
        <v>0.1666666667</v>
      </c>
      <c r="K39" s="3">
        <f t="shared" si="40"/>
        <v>0.46703292</v>
      </c>
    </row>
    <row r="40" ht="112.5" customHeight="1">
      <c r="A40" s="3" t="str">
        <f>EQ!A82</f>
        <v>c38594bec27d288cfe5bd031cde0cff4c46de188336f74ff3f79854c88c65b00</v>
      </c>
      <c r="B40" s="3">
        <f t="array" ref="B40">XLOOKUP(A40, Notes!A:A, Notes!B:B, "")</f>
        <v>63.31</v>
      </c>
      <c r="C40" s="3" t="str">
        <f>IFERROR(IMAGE(VLOOKUP(A40,DriveImages!A:C,3,FALSE),4,240,520),"")</f>
        <v/>
      </c>
      <c r="D40" s="3" t="str">
        <f>IF($A40="","",IF(AND(N($G40)&lt;=Params!$D$2,N($H40)&lt;=Params!$E$2),"Peu actif",IF(AND(N($I40)&gt;=Params!$F$4,N($E40)&lt;=Params!$B$2,N($F40)&lt;=Params!$C$2),"Efficace",IF(AND(N($F40)&gt;=Params!$C$4,OR(N($I40)&lt;=Params!$F$3,N($E40)&gt;=Params!$B$4)),"Bloqué",IF(AND(OR(N($G40)&gt;=Params!$D$4,N($H40)&gt;=Params!$E$4),N($I40)&lt;=Params!$F$3),"Persévérant",IF(AND(N($J40)&gt;=Params!$G$4,OR(N($G40)&lt;=Params!$D$3,N($H40)&lt;=Params!$E$3)),"Sporadique","Intermédiaire"))))))</f>
        <v>Sporadique</v>
      </c>
      <c r="E40" s="6">
        <f t="array" ref="E40">XLOOKUP(A40, EQ!A:A, EQ!B:B, "")</f>
        <v>0.1428571429</v>
      </c>
      <c r="F40" s="6">
        <f t="array" ref="F40">XLOOKUP(A40, RED!A:A, RED!B:B, "")</f>
        <v>0.07142857</v>
      </c>
      <c r="G40" s="3">
        <f t="shared" si="19"/>
        <v>10</v>
      </c>
      <c r="H40" s="3">
        <f t="shared" ref="H40:K40" si="41">XLOOKUP($A40, INDIRECT("'"&amp;H$1&amp;"'!A:A"), INDIRECT("'"&amp;H$1&amp;"'!B:B"), "")</f>
        <v>3</v>
      </c>
      <c r="I40" s="3">
        <f t="shared" si="41"/>
        <v>0.6</v>
      </c>
      <c r="J40" s="3">
        <f t="shared" si="41"/>
        <v>0.2222222222</v>
      </c>
      <c r="K40" s="3">
        <f t="shared" si="41"/>
        <v>0.4647273</v>
      </c>
    </row>
    <row r="41" ht="112.5" customHeight="1">
      <c r="A41" s="3" t="str">
        <f>EQ!A37</f>
        <v>5d60fc4768a0d01e3d533d2d5353bdffb58877bc2971bc7053a54071fa4c2f49</v>
      </c>
      <c r="B41" s="3">
        <f t="array" ref="B41">XLOOKUP(A41, Notes!A:A, Notes!B:B, "")</f>
        <v>75.96</v>
      </c>
      <c r="C41" s="3" t="str">
        <f>IFERROR(IMAGE(VLOOKUP(A41,DriveImages!A:C,3,FALSE),4,240,520),"")</f>
        <v/>
      </c>
      <c r="D41" s="3" t="str">
        <f>IF($A41="","",IF(AND(N($G41)&lt;=Params!$D$2,N($H41)&lt;=Params!$E$2),"Peu actif",IF(AND(N($I41)&gt;=Params!$F$4,N($E41)&lt;=Params!$B$2,N($F41)&lt;=Params!$C$2),"Efficace",IF(AND(N($F41)&gt;=Params!$C$4,OR(N($I41)&lt;=Params!$F$3,N($E41)&gt;=Params!$B$4)),"Bloqué",IF(AND(OR(N($G41)&gt;=Params!$D$4,N($H41)&gt;=Params!$E$4),N($I41)&lt;=Params!$F$3),"Persévérant",IF(AND(N($J41)&gt;=Params!$G$4,OR(N($G41)&lt;=Params!$D$3,N($H41)&lt;=Params!$E$3)),"Sporadique","Intermédiaire"))))))</f>
        <v>Intermédiaire</v>
      </c>
      <c r="E41" s="6">
        <f t="array" ref="E41">XLOOKUP(A41, EQ!A:A, EQ!B:B, "")</f>
        <v>0.2777777778</v>
      </c>
      <c r="F41" s="6">
        <f t="array" ref="F41">XLOOKUP(A41, RED!A:A, RED!B:B, "")</f>
        <v>0.18055556</v>
      </c>
      <c r="G41" s="3">
        <f t="shared" si="19"/>
        <v>25</v>
      </c>
      <c r="H41" s="3">
        <f t="shared" ref="H41:K41" si="42">XLOOKUP($A41, INDIRECT("'"&amp;H$1&amp;"'!A:A"), INDIRECT("'"&amp;H$1&amp;"'!B:B"), "")</f>
        <v>3</v>
      </c>
      <c r="I41" s="3">
        <f t="shared" si="42"/>
        <v>0.52</v>
      </c>
      <c r="J41" s="3">
        <f t="shared" si="42"/>
        <v>0.08333333333</v>
      </c>
      <c r="K41" s="3">
        <f t="shared" si="42"/>
        <v>0.4624638</v>
      </c>
    </row>
    <row r="42" ht="112.5" customHeight="1">
      <c r="A42" s="3" t="str">
        <f>EQ!A49</f>
        <v>753b3dfbf00b265816877af61db67c39ee3fae2b4e0a7b8f387b5163ff85b1bc</v>
      </c>
      <c r="B42" s="3">
        <f t="array" ref="B42">XLOOKUP(A42, Notes!A:A, Notes!B:B, "")</f>
        <v>53.44</v>
      </c>
      <c r="C42" s="3" t="str">
        <f>IFERROR(IMAGE(VLOOKUP(A42,DriveImages!A:C,3,FALSE),4,240,520),"")</f>
        <v/>
      </c>
      <c r="D42" s="3" t="str">
        <f>IF($A42="","",IF(AND(N($G42)&lt;=Params!$D$2,N($H42)&lt;=Params!$E$2),"Peu actif",IF(AND(N($I42)&gt;=Params!$F$4,N($E42)&lt;=Params!$B$2,N($F42)&lt;=Params!$C$2),"Efficace",IF(AND(N($F42)&gt;=Params!$C$4,OR(N($I42)&lt;=Params!$F$3,N($E42)&gt;=Params!$B$4)),"Bloqué",IF(AND(OR(N($G42)&gt;=Params!$D$4,N($H42)&gt;=Params!$E$4),N($I42)&lt;=Params!$F$3),"Persévérant",IF(AND(N($J42)&gt;=Params!$G$4,OR(N($G42)&lt;=Params!$D$3,N($H42)&lt;=Params!$E$3)),"Sporadique","Intermédiaire"))))))</f>
        <v>Sporadique</v>
      </c>
      <c r="E42" s="6">
        <f t="array" ref="E42">XLOOKUP(A42, EQ!A:A, EQ!B:B, "")</f>
        <v>0</v>
      </c>
      <c r="F42" s="6">
        <f t="array" ref="F42">XLOOKUP(A42, RED!A:A, RED!B:B, "")</f>
        <v>0</v>
      </c>
      <c r="G42" s="3">
        <f t="shared" si="19"/>
        <v>9</v>
      </c>
      <c r="H42" s="3">
        <f t="shared" ref="H42:K42" si="43">XLOOKUP($A42, INDIRECT("'"&amp;H$1&amp;"'!A:A"), INDIRECT("'"&amp;H$1&amp;"'!B:B"), "")</f>
        <v>4</v>
      </c>
      <c r="I42" s="3">
        <f t="shared" si="43"/>
        <v>0.6666666667</v>
      </c>
      <c r="J42" s="3">
        <f t="shared" si="43"/>
        <v>0.375</v>
      </c>
      <c r="K42" s="3">
        <f t="shared" si="43"/>
        <v>0.459596</v>
      </c>
    </row>
    <row r="43" ht="112.5" customHeight="1">
      <c r="A43" s="3" t="str">
        <f>EQ!A85</f>
        <v>ca1b7797566e850c3e583a2fbda610a51d5504ca9b0d611a0a3e2770c912d52d</v>
      </c>
      <c r="B43" s="3">
        <f t="array" ref="B43">XLOOKUP(A43, Notes!A:A, Notes!B:B, "")</f>
        <v>48</v>
      </c>
      <c r="C43" s="3" t="str">
        <f>IFERROR(IMAGE(VLOOKUP(A43,DriveImages!A:C,3,FALSE),4,240,520),"")</f>
        <v/>
      </c>
      <c r="D43" s="3" t="str">
        <f>IF($A43="","",IF(AND(N($G43)&lt;=Params!$D$2,N($H43)&lt;=Params!$E$2),"Peu actif",IF(AND(N($I43)&gt;=Params!$F$4,N($E43)&lt;=Params!$B$2,N($F43)&lt;=Params!$C$2),"Efficace",IF(AND(N($F43)&gt;=Params!$C$4,OR(N($I43)&lt;=Params!$F$3,N($E43)&gt;=Params!$B$4)),"Bloqué",IF(AND(OR(N($G43)&gt;=Params!$D$4,N($H43)&gt;=Params!$E$4),N($I43)&lt;=Params!$F$3),"Persévérant",IF(AND(N($J43)&gt;=Params!$G$4,OR(N($G43)&lt;=Params!$D$3,N($H43)&lt;=Params!$E$3)),"Sporadique","Intermédiaire"))))))</f>
        <v>Intermédiaire</v>
      </c>
      <c r="E43" s="6">
        <f t="array" ref="E43">XLOOKUP(A43, EQ!A:A, EQ!B:B, "")</f>
        <v>0.4166666667</v>
      </c>
      <c r="F43" s="6">
        <f t="array" ref="F43">XLOOKUP(A43, RED!A:A, RED!B:B, "")</f>
        <v>0.29861111</v>
      </c>
      <c r="G43" s="3">
        <f t="shared" si="19"/>
        <v>18</v>
      </c>
      <c r="H43" s="3">
        <f t="shared" ref="H43:K43" si="44">XLOOKUP($A43, INDIRECT("'"&amp;H$1&amp;"'!A:A"), INDIRECT("'"&amp;H$1&amp;"'!B:B"), "")</f>
        <v>2</v>
      </c>
      <c r="I43" s="3">
        <f t="shared" si="44"/>
        <v>0.5555555556</v>
      </c>
      <c r="J43" s="3">
        <f t="shared" si="44"/>
        <v>0.05882352941</v>
      </c>
      <c r="K43" s="3">
        <f t="shared" si="44"/>
        <v>0.45405983</v>
      </c>
    </row>
    <row r="44" ht="112.5" customHeight="1">
      <c r="A44" s="3" t="str">
        <f>EQ!A75</f>
        <v>b2739ffce4a91e9880373035f1a135a3772577ebe8a9e985482de17ccedccefd</v>
      </c>
      <c r="B44" s="3">
        <f t="array" ref="B44">XLOOKUP(A44, Notes!A:A, Notes!B:B, "")</f>
        <v>76.53</v>
      </c>
      <c r="C44" s="3" t="str">
        <f>IFERROR(IMAGE(VLOOKUP(A44,DriveImages!A:C,3,FALSE),4,240,520),"")</f>
        <v/>
      </c>
      <c r="D44" s="3" t="str">
        <f>IF($A44="","",IF(AND(N($G44)&lt;=Params!$D$2,N($H44)&lt;=Params!$E$2),"Peu actif",IF(AND(N($I44)&gt;=Params!$F$4,N($E44)&lt;=Params!$B$2,N($F44)&lt;=Params!$C$2),"Efficace",IF(AND(N($F44)&gt;=Params!$C$4,OR(N($I44)&lt;=Params!$F$3,N($E44)&gt;=Params!$B$4)),"Bloqué",IF(AND(OR(N($G44)&gt;=Params!$D$4,N($H44)&gt;=Params!$E$4),N($I44)&lt;=Params!$F$3),"Persévérant",IF(AND(N($J44)&gt;=Params!$G$4,OR(N($G44)&lt;=Params!$D$3,N($H44)&lt;=Params!$E$3)),"Sporadique","Intermédiaire"))))))</f>
        <v>Persévérant</v>
      </c>
      <c r="E44" s="6">
        <f t="array" ref="E44">XLOOKUP(A44, EQ!A:A, EQ!B:B, "")</f>
        <v>0.4285714286</v>
      </c>
      <c r="F44" s="6">
        <f t="array" ref="F44">XLOOKUP(A44, RED!A:A, RED!B:B, "")</f>
        <v>0.21428571</v>
      </c>
      <c r="G44" s="3">
        <f t="shared" si="19"/>
        <v>12</v>
      </c>
      <c r="H44" s="3">
        <f t="shared" ref="H44:K44" si="45">XLOOKUP($A44, INDIRECT("'"&amp;H$1&amp;"'!A:A"), INDIRECT("'"&amp;H$1&amp;"'!B:B"), "")</f>
        <v>4</v>
      </c>
      <c r="I44" s="3">
        <f t="shared" si="45"/>
        <v>0.5</v>
      </c>
      <c r="J44" s="3">
        <f t="shared" si="45"/>
        <v>0.2727272727</v>
      </c>
      <c r="K44" s="3">
        <f t="shared" si="45"/>
        <v>0.44543642</v>
      </c>
    </row>
    <row r="45" ht="112.5" customHeight="1">
      <c r="A45" s="3" t="str">
        <f>EQ!A58</f>
        <v>89b998636f98304acf1f5a475b5fad130ac8020d521969a48412173d2ac0971f</v>
      </c>
      <c r="B45" s="3">
        <f t="array" ref="B45">XLOOKUP(A45, Notes!A:A, Notes!B:B, "")</f>
        <v>41.78</v>
      </c>
      <c r="C45" s="3" t="str">
        <f>IFERROR(IMAGE(VLOOKUP(A45,DriveImages!A:C,3,FALSE),4,240,520),"")</f>
        <v/>
      </c>
      <c r="D45" s="3" t="str">
        <f>IF($A45="","",IF(AND(N($G45)&lt;=Params!$D$2,N($H45)&lt;=Params!$E$2),"Peu actif",IF(AND(N($I45)&gt;=Params!$F$4,N($E45)&lt;=Params!$B$2,N($F45)&lt;=Params!$C$2),"Efficace",IF(AND(N($F45)&gt;=Params!$C$4,OR(N($I45)&lt;=Params!$F$3,N($E45)&gt;=Params!$B$4)),"Bloqué",IF(AND(OR(N($G45)&gt;=Params!$D$4,N($H45)&gt;=Params!$E$4),N($I45)&lt;=Params!$F$3),"Persévérant",IF(AND(N($J45)&gt;=Params!$G$4,OR(N($G45)&lt;=Params!$D$3,N($H45)&lt;=Params!$E$3)),"Sporadique","Intermédiaire"))))))</f>
        <v>Peu actif</v>
      </c>
      <c r="E45" s="6">
        <f t="array" ref="E45">XLOOKUP(A45, EQ!A:A, EQ!B:B, "")</f>
        <v>0.5</v>
      </c>
      <c r="F45" s="6">
        <f t="array" ref="F45">XLOOKUP(A45, RED!A:A, RED!B:B, "")</f>
        <v>0.25</v>
      </c>
      <c r="G45" s="3">
        <f t="shared" si="19"/>
        <v>4</v>
      </c>
      <c r="H45" s="3">
        <f t="shared" ref="H45:K45" si="46">XLOOKUP($A45, INDIRECT("'"&amp;H$1&amp;"'!A:A"), INDIRECT("'"&amp;H$1&amp;"'!B:B"), "")</f>
        <v>1</v>
      </c>
      <c r="I45" s="3">
        <f t="shared" si="46"/>
        <v>0.5</v>
      </c>
      <c r="J45" s="3">
        <f t="shared" si="46"/>
        <v>0</v>
      </c>
      <c r="K45" s="3">
        <f t="shared" si="46"/>
        <v>0.44318175</v>
      </c>
    </row>
    <row r="46" ht="112.5" customHeight="1">
      <c r="A46" s="3" t="str">
        <f>EQ!A78</f>
        <v>bd41cbdc04707f80b319802470a1871b99d36766f9d020cc0f9a569a4d1bb54b</v>
      </c>
      <c r="B46" s="3">
        <f t="array" ref="B46">XLOOKUP(A46, Notes!A:A, Notes!B:B, "")</f>
        <v>68.44</v>
      </c>
      <c r="C46" s="3" t="str">
        <f>IFERROR(IMAGE(VLOOKUP(A46,DriveImages!A:C,3,FALSE),4,240,520),"")</f>
        <v/>
      </c>
      <c r="D46" s="3" t="str">
        <f>IF($A46="","",IF(AND(N($G46)&lt;=Params!$D$2,N($H46)&lt;=Params!$E$2),"Peu actif",IF(AND(N($I46)&gt;=Params!$F$4,N($E46)&lt;=Params!$B$2,N($F46)&lt;=Params!$C$2),"Efficace",IF(AND(N($F46)&gt;=Params!$C$4,OR(N($I46)&lt;=Params!$F$3,N($E46)&gt;=Params!$B$4)),"Bloqué",IF(AND(OR(N($G46)&gt;=Params!$D$4,N($H46)&gt;=Params!$E$4),N($I46)&lt;=Params!$F$3),"Persévérant",IF(AND(N($J46)&gt;=Params!$G$4,OR(N($G46)&lt;=Params!$D$3,N($H46)&lt;=Params!$E$3)),"Sporadique","Intermédiaire"))))))</f>
        <v>Peu actif</v>
      </c>
      <c r="E46" s="6">
        <f t="array" ref="E46">XLOOKUP(A46, EQ!A:A, EQ!B:B, "")</f>
        <v>0.3333333333</v>
      </c>
      <c r="F46" s="6">
        <f t="array" ref="F46">XLOOKUP(A46, RED!A:A, RED!B:B, "")</f>
        <v>0.16666667</v>
      </c>
      <c r="G46" s="3">
        <f t="shared" si="19"/>
        <v>4</v>
      </c>
      <c r="H46" s="3">
        <f t="shared" ref="H46:K46" si="47">XLOOKUP($A46, INDIRECT("'"&amp;H$1&amp;"'!A:A"), INDIRECT("'"&amp;H$1&amp;"'!B:B"), "")</f>
        <v>1</v>
      </c>
      <c r="I46" s="3">
        <f t="shared" si="47"/>
        <v>0.5</v>
      </c>
      <c r="J46" s="3">
        <f t="shared" si="47"/>
        <v>0</v>
      </c>
      <c r="K46" s="3">
        <f t="shared" si="47"/>
        <v>0.44230775</v>
      </c>
    </row>
    <row r="47" ht="112.5" customHeight="1">
      <c r="A47" s="3" t="str">
        <f>EQ!A87</f>
        <v>cec0a384f41fb2446aff0043657c7e32479dd58e701084dde0bcc28f161aa2b1</v>
      </c>
      <c r="B47" s="3">
        <f t="array" ref="B47">XLOOKUP(A47, Notes!A:A, Notes!B:B, "")</f>
        <v>0</v>
      </c>
      <c r="C47" s="3" t="str">
        <f>IFERROR(IMAGE(VLOOKUP(A47,DriveImages!A:C,3,FALSE),4,240,520),"")</f>
        <v/>
      </c>
      <c r="D47" s="3" t="str">
        <f>IF($A47="","",IF(AND(N($G47)&lt;=Params!$D$2,N($H47)&lt;=Params!$E$2),"Peu actif",IF(AND(N($I47)&gt;=Params!$F$4,N($E47)&lt;=Params!$B$2,N($F47)&lt;=Params!$C$2),"Efficace",IF(AND(N($F47)&gt;=Params!$C$4,OR(N($I47)&lt;=Params!$F$3,N($E47)&gt;=Params!$B$4)),"Bloqué",IF(AND(OR(N($G47)&gt;=Params!$D$4,N($H47)&gt;=Params!$E$4),N($I47)&lt;=Params!$F$3),"Persévérant",IF(AND(N($J47)&gt;=Params!$G$4,OR(N($G47)&lt;=Params!$D$3,N($H47)&lt;=Params!$E$3)),"Sporadique","Intermédiaire"))))))</f>
        <v>Intermédiaire</v>
      </c>
      <c r="E47" s="6">
        <f t="array" ref="E47">XLOOKUP(A47, EQ!A:A, EQ!B:B, "")</f>
        <v>0.2727272727</v>
      </c>
      <c r="F47" s="6">
        <f t="array" ref="F47">XLOOKUP(A47, RED!A:A, RED!B:B, "")</f>
        <v>0.16666667</v>
      </c>
      <c r="G47" s="3">
        <f t="shared" si="19"/>
        <v>16</v>
      </c>
      <c r="H47" s="3">
        <f t="shared" ref="H47:K47" si="48">XLOOKUP($A47, INDIRECT("'"&amp;H$1&amp;"'!A:A"), INDIRECT("'"&amp;H$1&amp;"'!B:B"), "")</f>
        <v>4</v>
      </c>
      <c r="I47" s="3">
        <f t="shared" si="48"/>
        <v>0.625</v>
      </c>
      <c r="J47" s="3">
        <f t="shared" si="48"/>
        <v>0.2</v>
      </c>
      <c r="K47" s="3">
        <f t="shared" si="48"/>
        <v>0.43540981</v>
      </c>
    </row>
    <row r="48" ht="112.5" customHeight="1">
      <c r="A48" s="3" t="str">
        <f>EQ!A30</f>
        <v>48002b47ecdcaeb4828400130c7d77959319f9ae612dfbd03a91f7422c093ac7</v>
      </c>
      <c r="B48" s="3">
        <f t="array" ref="B48">XLOOKUP(A48, Notes!A:A, Notes!B:B, "")</f>
        <v>66.71</v>
      </c>
      <c r="C48" s="3" t="str">
        <f>IFERROR(IMAGE(VLOOKUP(A48,DriveImages!A:C,3,FALSE),4,240,520),"")</f>
        <v/>
      </c>
      <c r="D48" s="3" t="str">
        <f>IF($A48="","",IF(AND(N($G48)&lt;=Params!$D$2,N($H48)&lt;=Params!$E$2),"Peu actif",IF(AND(N($I48)&gt;=Params!$F$4,N($E48)&lt;=Params!$B$2,N($F48)&lt;=Params!$C$2),"Efficace",IF(AND(N($F48)&gt;=Params!$C$4,OR(N($I48)&lt;=Params!$F$3,N($E48)&gt;=Params!$B$4)),"Bloqué",IF(AND(OR(N($G48)&gt;=Params!$D$4,N($H48)&gt;=Params!$E$4),N($I48)&lt;=Params!$F$3),"Persévérant",IF(AND(N($J48)&gt;=Params!$G$4,OR(N($G48)&lt;=Params!$D$3,N($H48)&lt;=Params!$E$3)),"Sporadique","Intermédiaire"))))))</f>
        <v>Sporadique</v>
      </c>
      <c r="E48" s="6">
        <f t="array" ref="E48">XLOOKUP(A48, EQ!A:A, EQ!B:B, "")</f>
        <v>0.25</v>
      </c>
      <c r="F48" s="6">
        <f t="array" ref="F48">XLOOKUP(A48, RED!A:A, RED!B:B, "")</f>
        <v>0.125</v>
      </c>
      <c r="G48" s="3">
        <f t="shared" si="19"/>
        <v>7</v>
      </c>
      <c r="H48" s="3">
        <f t="shared" ref="H48:K48" si="49">XLOOKUP($A48, INDIRECT("'"&amp;H$1&amp;"'!A:A"), INDIRECT("'"&amp;H$1&amp;"'!B:B"), "")</f>
        <v>3</v>
      </c>
      <c r="I48" s="3">
        <f t="shared" si="49"/>
        <v>0.5714285714</v>
      </c>
      <c r="J48" s="3">
        <f t="shared" si="49"/>
        <v>0.3333333333</v>
      </c>
      <c r="K48" s="3">
        <f t="shared" si="49"/>
        <v>0.43428571</v>
      </c>
    </row>
    <row r="49" ht="112.5" customHeight="1">
      <c r="A49" s="3" t="str">
        <f>EQ!A93</f>
        <v>d87811d4a1e9ba86c382fda19de6f7d1ad04b42f8c0dceeb81cd7cafc1008ed8</v>
      </c>
      <c r="B49" s="3">
        <f t="array" ref="B49">XLOOKUP(A49, Notes!A:A, Notes!B:B, "")</f>
        <v>73.16</v>
      </c>
      <c r="C49" s="3" t="str">
        <f>IFERROR(IMAGE(VLOOKUP(A49,DriveImages!A:C,3,FALSE),4,240,520),"")</f>
        <v/>
      </c>
      <c r="D49" s="3" t="str">
        <f>IF($A49="","",IF(AND(N($G49)&lt;=Params!$D$2,N($H49)&lt;=Params!$E$2),"Peu actif",IF(AND(N($I49)&gt;=Params!$F$4,N($E49)&lt;=Params!$B$2,N($F49)&lt;=Params!$C$2),"Efficace",IF(AND(N($F49)&gt;=Params!$C$4,OR(N($I49)&lt;=Params!$F$3,N($E49)&gt;=Params!$B$4)),"Bloqué",IF(AND(OR(N($G49)&gt;=Params!$D$4,N($H49)&gt;=Params!$E$4),N($I49)&lt;=Params!$F$3),"Persévérant",IF(AND(N($J49)&gt;=Params!$G$4,OR(N($G49)&lt;=Params!$D$3,N($H49)&lt;=Params!$E$3)),"Sporadique","Intermédiaire"))))))</f>
        <v>Intermédiaire</v>
      </c>
      <c r="E49" s="6">
        <f t="array" ref="E49">XLOOKUP(A49, EQ!A:A, EQ!B:B, "")</f>
        <v>0.3181818182</v>
      </c>
      <c r="F49" s="6">
        <f t="array" ref="F49">XLOOKUP(A49, RED!A:A, RED!B:B, "")</f>
        <v>0.25649351</v>
      </c>
      <c r="G49" s="3">
        <f t="shared" si="19"/>
        <v>24</v>
      </c>
      <c r="H49" s="3">
        <f t="shared" ref="H49:K49" si="50">XLOOKUP($A49, INDIRECT("'"&amp;H$1&amp;"'!A:A"), INDIRECT("'"&amp;H$1&amp;"'!B:B"), "")</f>
        <v>3</v>
      </c>
      <c r="I49" s="3">
        <f t="shared" si="50"/>
        <v>0.5833333333</v>
      </c>
      <c r="J49" s="3">
        <f t="shared" si="50"/>
        <v>0.08695652174</v>
      </c>
      <c r="K49" s="3">
        <f t="shared" si="50"/>
        <v>0.43318183</v>
      </c>
    </row>
    <row r="50" ht="112.5" customHeight="1">
      <c r="A50" s="3" t="str">
        <f>EQ!A68</f>
        <v>a1437f4d7c5982c950cc3bb1cfab162aa1470eb7263b45d865b404015088558b</v>
      </c>
      <c r="B50" s="3">
        <f t="array" ref="B50">XLOOKUP(A50, Notes!A:A, Notes!B:B, "")</f>
        <v>61.91</v>
      </c>
      <c r="C50" s="3" t="str">
        <f>IFERROR(IMAGE(VLOOKUP(A50,DriveImages!A:C,3,FALSE),4,240,520),"")</f>
        <v/>
      </c>
      <c r="D50" s="3" t="str">
        <f>IF($A50="","",IF(AND(N($G50)&lt;=Params!$D$2,N($H50)&lt;=Params!$E$2),"Peu actif",
IF(AND(N($I50)&gt;=Params!$F$4,N($E50)&lt;=Params!$B$2,N($F50)&lt;=Params!$C$2),"Efficace",
IF(AND(N($F50)&gt;=Params!$C$4,OR(N($I50)&lt;=Params!$F$3,N($E50)&gt;=Params!$B$4)),"Bloqué",
IF(AND(OR(N($G50)&gt;=Params!$D$4,N($H50)&gt;=Params!$E$4),N($I50)&lt;=Params!$F$3),"Persévérant",
IF(AND(N($J50)&gt;=Params!$G$4,OR(N($G50)&lt;=Params!$D$3,N($H50)&lt;=Params!$E$3)),"Sporadique",
"Intermédiaire"))))))</f>
        <v>Efficace</v>
      </c>
      <c r="E50" s="6">
        <f t="array" ref="E50">XLOOKUP(A50, EQ!A:A, EQ!B:B, "")</f>
        <v>0</v>
      </c>
      <c r="F50" s="6">
        <f t="array" ref="F50">XLOOKUP(A50, RED!A:A, RED!B:B, "")</f>
        <v>0</v>
      </c>
      <c r="G50" s="3">
        <f t="shared" si="19"/>
        <v>4</v>
      </c>
      <c r="H50" s="3">
        <f t="shared" ref="H50:K50" si="51">XLOOKUP($A50, INDIRECT("'"&amp;H$1&amp;"'!A:A"), INDIRECT("'"&amp;H$1&amp;"'!B:B"), "")</f>
        <v>2</v>
      </c>
      <c r="I50" s="3">
        <f t="shared" si="51"/>
        <v>0.75</v>
      </c>
      <c r="J50" s="3">
        <f t="shared" si="51"/>
        <v>0.3333333333</v>
      </c>
      <c r="K50" s="3">
        <f t="shared" si="51"/>
        <v>0.43181825</v>
      </c>
    </row>
    <row r="51" ht="112.5" customHeight="1">
      <c r="A51" s="3" t="str">
        <f>EQ!A6</f>
        <v>098d08de95d38eeec0842ad11e1e98d03c5afff456588f8ec0e9b2842aae39a3</v>
      </c>
      <c r="B51" s="3">
        <f t="array" ref="B51">XLOOKUP(A51, Notes!A:A, Notes!B:B, "")</f>
        <v>86.16</v>
      </c>
      <c r="C51" s="3" t="str">
        <f>IFERROR(IMAGE(VLOOKUP(A51,DriveImages!A:C,3,FALSE),4,240,520),"")</f>
        <v/>
      </c>
      <c r="D51" s="3" t="str">
        <f>IF($A51="","",IF(AND(N($G51)&lt;=Params!$D$2,N($H51)&lt;=Params!$E$2),"Peu actif",IF(AND(N($I51)&gt;=Params!$F$4,N($E51)&lt;=Params!$B$2,N($F51)&lt;=Params!$C$2),"Efficace",IF(AND(N($F51)&gt;=Params!$C$4,OR(N($I51)&lt;=Params!$F$3,N($E51)&gt;=Params!$B$4)),"Bloqué",IF(AND(OR(N($G51)&gt;=Params!$D$4,N($H51)&gt;=Params!$E$4),N($I51)&lt;=Params!$F$3),"Persévérant",IF(AND(N($J51)&gt;=Params!$G$4,OR(N($G51)&lt;=Params!$D$3,N($H51)&lt;=Params!$E$3)),"Sporadique","Intermédiaire"))))))</f>
        <v>Efficace</v>
      </c>
      <c r="E51" s="6">
        <f t="array" ref="E51">XLOOKUP(A51, EQ!A:A, EQ!B:B, "")</f>
        <v>0</v>
      </c>
      <c r="F51" s="6">
        <f t="array" ref="F51">XLOOKUP(A51, RED!A:A, RED!B:B, "")</f>
        <v>0</v>
      </c>
      <c r="G51" s="3">
        <f t="shared" si="19"/>
        <v>4</v>
      </c>
      <c r="H51" s="3">
        <f t="shared" ref="H51:K51" si="52">XLOOKUP($A51, INDIRECT("'"&amp;H$1&amp;"'!A:A"), INDIRECT("'"&amp;H$1&amp;"'!B:B"), "")</f>
        <v>2</v>
      </c>
      <c r="I51" s="3">
        <f t="shared" si="52"/>
        <v>0.75</v>
      </c>
      <c r="J51" s="3">
        <f t="shared" si="52"/>
        <v>0.3333333333</v>
      </c>
      <c r="K51" s="3">
        <f t="shared" si="52"/>
        <v>0.43</v>
      </c>
    </row>
    <row r="52" ht="112.5" customHeight="1">
      <c r="A52" s="3" t="str">
        <f>EQ!A28</f>
        <v>453482ae02a485dd6eda2426eae4181835e1451a36229f550d4efb9d8a7a9470</v>
      </c>
      <c r="B52" s="3">
        <f t="array" ref="B52">XLOOKUP(A52, Notes!A:A, Notes!B:B, "")</f>
        <v>40.5</v>
      </c>
      <c r="C52" s="3" t="str">
        <f>IFERROR(IMAGE(VLOOKUP(A52,DriveImages!A:C,3,FALSE),4,240,520),"")</f>
        <v/>
      </c>
      <c r="D52" s="3" t="str">
        <f>IF($A52="","",IF(AND(N($G52)&lt;=Params!$D$2,N($H52)&lt;=Params!$E$2),"Peu actif",IF(AND(N($I52)&gt;=Params!$F$4,N($E52)&lt;=Params!$B$2,N($F52)&lt;=Params!$C$2),"Efficace",IF(AND(N($F52)&gt;=Params!$C$4,OR(N($I52)&lt;=Params!$F$3,N($E52)&gt;=Params!$B$4)),"Bloqué",IF(AND(OR(N($G52)&gt;=Params!$D$4,N($H52)&gt;=Params!$E$4),N($I52)&lt;=Params!$F$3),"Persévérant",IF(AND(N($J52)&gt;=Params!$G$4,OR(N($G52)&lt;=Params!$D$3,N($H52)&lt;=Params!$E$3)),"Sporadique","Intermédiaire"))))))</f>
        <v>Intermédiaire</v>
      </c>
      <c r="E52" s="6">
        <f t="array" ref="E52">XLOOKUP(A52, EQ!A:A, EQ!B:B, "")</f>
        <v>0.2</v>
      </c>
      <c r="F52" s="6">
        <f t="array" ref="F52">XLOOKUP(A52, RED!A:A, RED!B:B, "")</f>
        <v>0.1</v>
      </c>
      <c r="G52" s="3">
        <f t="shared" si="19"/>
        <v>6</v>
      </c>
      <c r="H52" s="3">
        <f t="shared" ref="H52:K52" si="53">XLOOKUP($A52, INDIRECT("'"&amp;H$1&amp;"'!A:A"), INDIRECT("'"&amp;H$1&amp;"'!B:B"), "")</f>
        <v>1</v>
      </c>
      <c r="I52" s="3">
        <f t="shared" si="53"/>
        <v>0.6666666667</v>
      </c>
      <c r="J52" s="3">
        <f t="shared" si="53"/>
        <v>0</v>
      </c>
      <c r="K52" s="3">
        <f t="shared" si="53"/>
        <v>0.42</v>
      </c>
    </row>
    <row r="53" ht="112.5" customHeight="1">
      <c r="A53" s="3" t="str">
        <f>EQ!A34</f>
        <v>53b87d41de61b0eb5ef6562222f1f3bcd5b5ce1da053e57f47b6ed23d7aa8502</v>
      </c>
      <c r="B53" s="3">
        <f t="array" ref="B53">XLOOKUP(A53, Notes!A:A, Notes!B:B, "")</f>
        <v>47.66</v>
      </c>
      <c r="C53" s="3" t="str">
        <f>IFERROR(IMAGE(VLOOKUP(A53,DriveImages!A:C,3,FALSE),4,240,520),"")</f>
        <v/>
      </c>
      <c r="D53" s="3" t="str">
        <f>IF($A53="","",IF(AND(N($G53)&lt;=Params!$D$2,N($H53)&lt;=Params!$E$2),"Peu actif",IF(AND(N($I53)&gt;=Params!$F$4,N($E53)&lt;=Params!$B$2,N($F53)&lt;=Params!$C$2),"Efficace",IF(AND(N($F53)&gt;=Params!$C$4,OR(N($I53)&lt;=Params!$F$3,N($E53)&gt;=Params!$B$4)),"Bloqué",IF(AND(OR(N($G53)&gt;=Params!$D$4,N($H53)&gt;=Params!$E$4),N($I53)&lt;=Params!$F$3),"Persévérant",IF(AND(N($J53)&gt;=Params!$G$4,OR(N($G53)&lt;=Params!$D$3,N($H53)&lt;=Params!$E$3)),"Sporadique","Intermédiaire"))))))</f>
        <v>Persévérant</v>
      </c>
      <c r="E53" s="6">
        <f t="array" ref="E53">XLOOKUP(A53, EQ!A:A, EQ!B:B, "")</f>
        <v>0.58</v>
      </c>
      <c r="F53" s="6">
        <f t="array" ref="F53">XLOOKUP(A53, RED!A:A, RED!B:B, "")</f>
        <v>0.51855263</v>
      </c>
      <c r="G53" s="3">
        <f t="shared" si="19"/>
        <v>60</v>
      </c>
      <c r="H53" s="3">
        <f t="shared" ref="H53:K53" si="54">XLOOKUP($A53, INDIRECT("'"&amp;H$1&amp;"'!A:A"), INDIRECT("'"&amp;H$1&amp;"'!B:B"), "")</f>
        <v>2</v>
      </c>
      <c r="I53" s="3">
        <f t="shared" si="54"/>
        <v>0.4333333333</v>
      </c>
      <c r="J53" s="3">
        <f t="shared" si="54"/>
        <v>0.01694915254</v>
      </c>
      <c r="K53" s="3">
        <f t="shared" si="54"/>
        <v>0.41845237</v>
      </c>
    </row>
    <row r="54" ht="112.5" customHeight="1">
      <c r="A54" s="3" t="str">
        <f>EQ!A27</f>
        <v>438f91a3a02080977006d5b4ee2c29f6e0d0b58e848dc92712f3982a1449f481</v>
      </c>
      <c r="B54" s="3">
        <f t="array" ref="B54">XLOOKUP(A54, Notes!A:A, Notes!B:B, "")</f>
        <v>60.42</v>
      </c>
      <c r="C54" s="3" t="str">
        <f>IFERROR(IMAGE(VLOOKUP(A54,DriveImages!A:C,3,FALSE),4,240,520),"")</f>
        <v/>
      </c>
      <c r="D54" s="3" t="str">
        <f>IF($A54="","",IF(AND(N($G54)&lt;=Params!$D$2,N($H54)&lt;=Params!$E$2),"Peu actif",IF(AND(N($I54)&gt;=Params!$F$4,N($E54)&lt;=Params!$B$2,N($F54)&lt;=Params!$C$2),"Efficace",IF(AND(N($F54)&gt;=Params!$C$4,OR(N($I54)&lt;=Params!$F$3,N($E54)&gt;=Params!$B$4)),"Bloqué",IF(AND(OR(N($G54)&gt;=Params!$D$4,N($H54)&gt;=Params!$E$4),N($I54)&lt;=Params!$F$3),"Persévérant",IF(AND(N($J54)&gt;=Params!$G$4,OR(N($G54)&lt;=Params!$D$3,N($H54)&lt;=Params!$E$3)),"Sporadique","Intermédiaire"))))))</f>
        <v>Intermédiaire</v>
      </c>
      <c r="E54" s="6">
        <f t="array" ref="E54">XLOOKUP(A54, EQ!A:A, EQ!B:B, "")</f>
        <v>0</v>
      </c>
      <c r="F54" s="6">
        <f t="array" ref="F54">XLOOKUP(A54, RED!A:A, RED!B:B, "")</f>
        <v>0</v>
      </c>
      <c r="G54" s="3">
        <f t="shared" si="19"/>
        <v>6</v>
      </c>
      <c r="H54" s="3">
        <f t="shared" ref="H54:K54" si="55">XLOOKUP($A54, INDIRECT("'"&amp;H$1&amp;"'!A:A"), INDIRECT("'"&amp;H$1&amp;"'!B:B"), "")</f>
        <v>1</v>
      </c>
      <c r="I54" s="3">
        <f t="shared" si="55"/>
        <v>0.6666666667</v>
      </c>
      <c r="J54" s="3">
        <f t="shared" si="55"/>
        <v>0</v>
      </c>
      <c r="K54" s="3">
        <f t="shared" si="55"/>
        <v>0.41666667</v>
      </c>
    </row>
    <row r="55" ht="112.5" customHeight="1">
      <c r="A55" s="3" t="str">
        <f>EQ!A13</f>
        <v>23d73ca299f02110f10fe0b18902fd2ea5ad124d3a061f110083353b3899c369</v>
      </c>
      <c r="B55" s="3">
        <f t="array" ref="B55">XLOOKUP(A55, Notes!A:A, Notes!B:B, "")</f>
        <v>89.25</v>
      </c>
      <c r="C55" s="3" t="str">
        <f>IFERROR(IMAGE(VLOOKUP(A55,DriveImages!A:C,3,FALSE),4,240,520),"")</f>
        <v/>
      </c>
      <c r="D55" s="3" t="str">
        <f>IF($A55="","",IF(AND(N($G55)&lt;=Params!$D$2,N($H55)&lt;=Params!$E$2),"Peu actif",IF(AND(N($I55)&gt;=Params!$F$4,N($E55)&lt;=Params!$B$2,N($F55)&lt;=Params!$C$2),"Efficace",IF(AND(N($F55)&gt;=Params!$C$4,OR(N($I55)&lt;=Params!$F$3,N($E55)&gt;=Params!$B$4)),"Bloqué",IF(AND(OR(N($G55)&gt;=Params!$D$4,N($H55)&gt;=Params!$E$4),N($I55)&lt;=Params!$F$3),"Persévérant",IF(AND(N($J55)&gt;=Params!$G$4,OR(N($G55)&lt;=Params!$D$3,N($H55)&lt;=Params!$E$3)),"Sporadique","Intermédiaire"))))))</f>
        <v>Intermédiaire</v>
      </c>
      <c r="E55" s="6">
        <f t="array" ref="E55">XLOOKUP(A55, EQ!A:A, EQ!B:B, "")</f>
        <v>0.2857142857</v>
      </c>
      <c r="F55" s="6">
        <f t="array" ref="F55">XLOOKUP(A55, RED!A:A, RED!B:B, "")</f>
        <v>0.16666667</v>
      </c>
      <c r="G55" s="3">
        <f t="shared" si="19"/>
        <v>18</v>
      </c>
      <c r="H55" s="3">
        <f t="shared" ref="H55:K55" si="56">XLOOKUP($A55, INDIRECT("'"&amp;H$1&amp;"'!A:A"), INDIRECT("'"&amp;H$1&amp;"'!B:B"), "")</f>
        <v>3</v>
      </c>
      <c r="I55" s="3">
        <f t="shared" si="56"/>
        <v>0.5555555556</v>
      </c>
      <c r="J55" s="3">
        <f t="shared" si="56"/>
        <v>0.1176470588</v>
      </c>
      <c r="K55" s="3">
        <f t="shared" si="56"/>
        <v>0.41388889</v>
      </c>
    </row>
    <row r="56" ht="112.5" customHeight="1">
      <c r="A56" s="3" t="str">
        <f>EQ!A42</f>
        <v>6b689d246c11ea35bf66a151aa4d7d83d1e1b11f9f3a3876c5d609048ea310f8</v>
      </c>
      <c r="B56" s="3">
        <f t="array" ref="B56">XLOOKUP(A56, Notes!A:A, Notes!B:B, "")</f>
        <v>39.42</v>
      </c>
      <c r="C56" s="3" t="str">
        <f>IFERROR(IMAGE(VLOOKUP(A56,DriveImages!A:C,3,FALSE),4,240,520),"")</f>
        <v/>
      </c>
      <c r="D56" s="3" t="str">
        <f>IF($A56="","",IF(AND(N($G56)&lt;=Params!$D$2,N($H56)&lt;=Params!$E$2),"Peu actif",IF(AND(N($I56)&gt;=Params!$F$4,N($E56)&lt;=Params!$B$2,N($F56)&lt;=Params!$C$2),"Efficace",IF(AND(N($F56)&gt;=Params!$C$4,OR(N($I56)&lt;=Params!$F$3,N($E56)&gt;=Params!$B$4)),"Bloqué",IF(AND(OR(N($G56)&gt;=Params!$D$4,N($H56)&gt;=Params!$E$4),N($I56)&lt;=Params!$F$3),"Persévérant",IF(AND(N($J56)&gt;=Params!$G$4,OR(N($G56)&lt;=Params!$D$3,N($H56)&lt;=Params!$E$3)),"Sporadique","Intermédiaire"))))))</f>
        <v>Intermédiaire</v>
      </c>
      <c r="E56" s="6">
        <f t="array" ref="E56">XLOOKUP(A56, EQ!A:A, EQ!B:B, "")</f>
        <v>0.25</v>
      </c>
      <c r="F56" s="6">
        <f t="array" ref="F56">XLOOKUP(A56, RED!A:A, RED!B:B, "")</f>
        <v>0.125</v>
      </c>
      <c r="G56" s="3">
        <f t="shared" si="19"/>
        <v>11</v>
      </c>
      <c r="H56" s="3">
        <f t="shared" ref="H56:K56" si="57">XLOOKUP($A56, INDIRECT("'"&amp;H$1&amp;"'!A:A"), INDIRECT("'"&amp;H$1&amp;"'!B:B"), "")</f>
        <v>2</v>
      </c>
      <c r="I56" s="3">
        <f t="shared" si="57"/>
        <v>0.5454545455</v>
      </c>
      <c r="J56" s="3">
        <f t="shared" si="57"/>
        <v>0.1</v>
      </c>
      <c r="K56" s="3">
        <f t="shared" si="57"/>
        <v>0.40909091</v>
      </c>
    </row>
    <row r="57" ht="112.5" customHeight="1">
      <c r="A57" s="3" t="str">
        <f>EQ!A36</f>
        <v>5c075290e921279538ad0cbf9786e8855bd2c7f97a066c94d059d313cb34273b</v>
      </c>
      <c r="B57" s="3">
        <f t="array" ref="B57">XLOOKUP(A57, Notes!A:A, Notes!B:B, "")</f>
        <v>61.23</v>
      </c>
      <c r="C57" s="3" t="str">
        <f>IFERROR(IMAGE(VLOOKUP(A57,DriveImages!A:C,3,FALSE),4,240,520),"")</f>
        <v/>
      </c>
      <c r="D57" s="3" t="str">
        <f>IF($A57="","",IF(AND(N($G57)&lt;=Params!$D$2,N($H57)&lt;=Params!$E$2),"Peu actif",IF(AND(N($I57)&gt;=Params!$F$4,N($E57)&lt;=Params!$B$2,N($F57)&lt;=Params!$C$2),"Efficace",IF(AND(N($F57)&gt;=Params!$C$4,OR(N($I57)&lt;=Params!$F$3,N($E57)&gt;=Params!$B$4)),"Bloqué",IF(AND(OR(N($G57)&gt;=Params!$D$4,N($H57)&gt;=Params!$E$4),N($I57)&lt;=Params!$F$3),"Persévérant",IF(AND(N($J57)&gt;=Params!$G$4,OR(N($G57)&lt;=Params!$D$3,N($H57)&lt;=Params!$E$3)),"Sporadique","Intermédiaire"))))))</f>
        <v>Intermédiaire</v>
      </c>
      <c r="E57" s="6">
        <f t="array" ref="E57">XLOOKUP(A57, EQ!A:A, EQ!B:B, "")</f>
        <v>0.1875</v>
      </c>
      <c r="F57" s="6">
        <f t="array" ref="F57">XLOOKUP(A57, RED!A:A, RED!B:B, "")</f>
        <v>0.140625</v>
      </c>
      <c r="G57" s="3">
        <f t="shared" si="19"/>
        <v>23</v>
      </c>
      <c r="H57" s="3">
        <f t="shared" ref="H57:K57" si="58">XLOOKUP($A57, INDIRECT("'"&amp;H$1&amp;"'!A:A"), INDIRECT("'"&amp;H$1&amp;"'!B:B"), "")</f>
        <v>4</v>
      </c>
      <c r="I57" s="3">
        <f t="shared" si="58"/>
        <v>0.5652173913</v>
      </c>
      <c r="J57" s="3">
        <f t="shared" si="58"/>
        <v>0.1363636364</v>
      </c>
      <c r="K57" s="3">
        <f t="shared" si="58"/>
        <v>0.40518396</v>
      </c>
    </row>
    <row r="58" ht="112.5" customHeight="1">
      <c r="A58" s="3" t="str">
        <f>EQ!A94</f>
        <v>d9381190f981d16a88149206249465bb181ce58d6359562dea944f4d477363e3</v>
      </c>
      <c r="B58" s="3">
        <f t="array" ref="B58">XLOOKUP(A58, Notes!A:A, Notes!B:B, "")</f>
        <v>52.9</v>
      </c>
      <c r="C58" s="3" t="str">
        <f>IFERROR(IMAGE(VLOOKUP(A58,DriveImages!A:C,3,FALSE),4,240,520),"")</f>
        <v/>
      </c>
      <c r="D58" s="3" t="str">
        <f>IF($A58="","",IF(AND(N($G58)&lt;=Params!$D$2,N($H58)&lt;=Params!$E$2),"Peu actif",IF(AND(N($I58)&gt;=Params!$F$4,N($E58)&lt;=Params!$B$2,N($F58)&lt;=Params!$C$2),"Efficace",IF(AND(N($F58)&gt;=Params!$C$4,OR(N($I58)&lt;=Params!$F$3,N($E58)&gt;=Params!$B$4)),"Bloqué",IF(AND(OR(N($G58)&gt;=Params!$D$4,N($H58)&gt;=Params!$E$4),N($I58)&lt;=Params!$F$3),"Persévérant",IF(AND(N($J58)&gt;=Params!$G$4,OR(N($G58)&lt;=Params!$D$3,N($H58)&lt;=Params!$E$3)),"Sporadique","Intermédiaire"))))))</f>
        <v>Intermédiaire</v>
      </c>
      <c r="E58" s="6">
        <f t="array" ref="E58">XLOOKUP(A58, EQ!A:A, EQ!B:B, "")</f>
        <v>0.25</v>
      </c>
      <c r="F58" s="6">
        <f t="array" ref="F58">XLOOKUP(A58, RED!A:A, RED!B:B, "")</f>
        <v>0.125</v>
      </c>
      <c r="G58" s="3">
        <f t="shared" si="19"/>
        <v>12</v>
      </c>
      <c r="H58" s="3">
        <f t="shared" ref="H58:K58" si="59">XLOOKUP($A58, INDIRECT("'"&amp;H$1&amp;"'!A:A"), INDIRECT("'"&amp;H$1&amp;"'!B:B"), "")</f>
        <v>1</v>
      </c>
      <c r="I58" s="3">
        <f t="shared" si="59"/>
        <v>0.4166666667</v>
      </c>
      <c r="J58" s="3">
        <f t="shared" si="59"/>
        <v>0</v>
      </c>
      <c r="K58" s="3">
        <f t="shared" si="59"/>
        <v>0.40333333</v>
      </c>
    </row>
    <row r="59" ht="112.5" customHeight="1">
      <c r="A59" s="3" t="str">
        <f>EQ!A89</f>
        <v>cf13a4b65841c7dceb8412708517c5be0cdedb328ac511655c4a95ee813d548b</v>
      </c>
      <c r="B59" s="3">
        <f t="array" ref="B59">XLOOKUP(A59, Notes!A:A, Notes!B:B, "")</f>
        <v>38.25</v>
      </c>
      <c r="C59" s="3" t="str">
        <f>IFERROR(IMAGE(VLOOKUP(A59,DriveImages!A:C,3,FALSE),4,240,520),"")</f>
        <v/>
      </c>
      <c r="D59" s="3" t="str">
        <f>IF($A59="","",IF(AND(N($G59)&lt;=Params!$D$2,N($H59)&lt;=Params!$E$2),"Peu actif",IF(AND(N($I59)&gt;=Params!$F$4,N($E59)&lt;=Params!$B$2,N($F59)&lt;=Params!$C$2),"Efficace",IF(AND(N($F59)&gt;=Params!$C$4,OR(N($I59)&lt;=Params!$F$3,N($E59)&gt;=Params!$B$4)),"Bloqué",IF(AND(OR(N($G59)&gt;=Params!$D$4,N($H59)&gt;=Params!$E$4),N($I59)&lt;=Params!$F$3),"Persévérant",IF(AND(N($J59)&gt;=Params!$G$4,OR(N($G59)&lt;=Params!$D$3,N($H59)&lt;=Params!$E$3)),"Sporadique","Intermédiaire"))))))</f>
        <v>Peu actif</v>
      </c>
      <c r="E59" s="6">
        <f t="array" ref="E59">XLOOKUP(A59, EQ!A:A, EQ!B:B, "")</f>
        <v>0.5</v>
      </c>
      <c r="F59" s="6">
        <f t="array" ref="F59">XLOOKUP(A59, RED!A:A, RED!B:B, "")</f>
        <v>0.33333333</v>
      </c>
      <c r="G59" s="3">
        <f t="shared" si="19"/>
        <v>5</v>
      </c>
      <c r="H59" s="3">
        <f t="shared" ref="H59:K59" si="60">XLOOKUP($A59, INDIRECT("'"&amp;H$1&amp;"'!A:A"), INDIRECT("'"&amp;H$1&amp;"'!B:B"), "")</f>
        <v>1</v>
      </c>
      <c r="I59" s="3">
        <f t="shared" si="60"/>
        <v>0.4</v>
      </c>
      <c r="J59" s="3">
        <f t="shared" si="60"/>
        <v>0</v>
      </c>
      <c r="K59" s="3">
        <f t="shared" si="60"/>
        <v>0.4</v>
      </c>
    </row>
    <row r="60" ht="112.5" customHeight="1">
      <c r="A60" s="3" t="str">
        <f>EQ!A22</f>
        <v>351cff49ce968bd6bb542470c3004131a5042932b5f2cb0e7ea8492770b77485</v>
      </c>
      <c r="B60" s="3">
        <f t="array" ref="B60">XLOOKUP(A60, Notes!A:A, Notes!B:B, "")</f>
        <v>48</v>
      </c>
      <c r="C60" s="3" t="str">
        <f>IFERROR(IMAGE(VLOOKUP(A60,DriveImages!A:C,3,FALSE),4,240,520),"")</f>
        <v/>
      </c>
      <c r="D60" s="3" t="str">
        <f>IF($A60="","",IF(AND(N($G60)&lt;=Params!$D$2,N($H60)&lt;=Params!$E$2),"Peu actif",IF(AND(N($I60)&gt;=Params!$F$4,N($E60)&lt;=Params!$B$2,N($F60)&lt;=Params!$C$2),"Efficace",IF(AND(N($F60)&gt;=Params!$C$4,OR(N($I60)&lt;=Params!$F$3,N($E60)&gt;=Params!$B$4)),"Bloqué",IF(AND(OR(N($G60)&gt;=Params!$D$4,N($H60)&gt;=Params!$E$4),N($I60)&lt;=Params!$F$3),"Persévérant",IF(AND(N($J60)&gt;=Params!$G$4,OR(N($G60)&lt;=Params!$D$3,N($H60)&lt;=Params!$E$3)),"Sporadique","Intermédiaire"))))))</f>
        <v>Sporadique</v>
      </c>
      <c r="E60" s="6">
        <f t="array" ref="E60">XLOOKUP(A60, EQ!A:A, EQ!B:B, "")</f>
        <v>0.3333333333</v>
      </c>
      <c r="F60" s="6">
        <f t="array" ref="F60">XLOOKUP(A60, RED!A:A, RED!B:B, "")</f>
        <v>0.16666667</v>
      </c>
      <c r="G60" s="3">
        <f t="shared" si="19"/>
        <v>5</v>
      </c>
      <c r="H60" s="3">
        <f t="shared" ref="H60:K60" si="61">XLOOKUP($A60, INDIRECT("'"&amp;H$1&amp;"'!A:A"), INDIRECT("'"&amp;H$1&amp;"'!B:B"), "")</f>
        <v>2</v>
      </c>
      <c r="I60" s="3">
        <f t="shared" si="61"/>
        <v>0.4</v>
      </c>
      <c r="J60" s="3">
        <f t="shared" si="61"/>
        <v>0.25</v>
      </c>
      <c r="K60" s="3">
        <f t="shared" si="61"/>
        <v>0.4</v>
      </c>
    </row>
    <row r="61" ht="112.5" customHeight="1">
      <c r="A61" s="3" t="str">
        <f>EQ!A44</f>
        <v>6d7f68c6bb26c8342bf3a3e21bb30c4a24aa6ccd9d3319af32684e6641052dcd</v>
      </c>
      <c r="B61" s="3">
        <f t="array" ref="B61">XLOOKUP(A61, Notes!A:A, Notes!B:B, "")</f>
        <v>66.03</v>
      </c>
      <c r="C61" s="3" t="str">
        <f>IFERROR(IMAGE(VLOOKUP(A61,DriveImages!A:C,3,FALSE),4,240,520),"")</f>
        <v/>
      </c>
      <c r="D61" s="3" t="str">
        <f>IF($A61="","",IF(AND(N($G61)&lt;=Params!$D$2,N($H61)&lt;=Params!$E$2),"Peu actif",IF(AND(N($I61)&gt;=Params!$F$4,N($E61)&lt;=Params!$B$2,N($F61)&lt;=Params!$C$2),"Efficace",IF(AND(N($F61)&gt;=Params!$C$4,OR(N($I61)&lt;=Params!$F$3,N($E61)&gt;=Params!$B$4)),"Bloqué",IF(AND(OR(N($G61)&gt;=Params!$D$4,N($H61)&gt;=Params!$E$4),N($I61)&lt;=Params!$F$3),"Persévérant",IF(AND(N($J61)&gt;=Params!$G$4,OR(N($G61)&lt;=Params!$D$3,N($H61)&lt;=Params!$E$3)),"Sporadique","Intermédiaire"))))))</f>
        <v>Intermédiaire</v>
      </c>
      <c r="E61" s="6">
        <f t="array" ref="E61">XLOOKUP(A61, EQ!A:A, EQ!B:B, "")</f>
        <v>0.3333333333</v>
      </c>
      <c r="F61" s="6">
        <f t="array" ref="F61">XLOOKUP(A61, RED!A:A, RED!B:B, "")</f>
        <v>0.16666667</v>
      </c>
      <c r="G61" s="3">
        <f t="shared" si="19"/>
        <v>7</v>
      </c>
      <c r="H61" s="3">
        <f t="shared" ref="H61:K61" si="62">XLOOKUP($A61, INDIRECT("'"&amp;H$1&amp;"'!A:A"), INDIRECT("'"&amp;H$1&amp;"'!B:B"), "")</f>
        <v>1</v>
      </c>
      <c r="I61" s="3">
        <f t="shared" si="62"/>
        <v>0.4285714286</v>
      </c>
      <c r="J61" s="3">
        <f t="shared" si="62"/>
        <v>0</v>
      </c>
      <c r="K61" s="3">
        <f t="shared" si="62"/>
        <v>0.39795914</v>
      </c>
    </row>
    <row r="62" ht="112.5" customHeight="1">
      <c r="A62" s="3" t="str">
        <f>EQ!A26</f>
        <v>4225b96eae6636e51ed4b87746263b9e5d0e927d67326324fbf1544230fa6fb8</v>
      </c>
      <c r="B62" s="3">
        <f t="array" ref="B62">XLOOKUP(A62, Notes!A:A, Notes!B:B, "")</f>
        <v>36.71</v>
      </c>
      <c r="C62" s="3" t="str">
        <f>IFERROR(IMAGE(VLOOKUP(A62,DriveImages!A:C,3,FALSE),4,240,520),"")</f>
        <v/>
      </c>
      <c r="D62" s="3" t="str">
        <f>IF($A62="","",IF(AND(N($G62)&lt;=Params!$D$2,N($H62)&lt;=Params!$E$2),"Peu actif",IF(AND(N($I62)&gt;=Params!$F$4,N($E62)&lt;=Params!$B$2,N($F62)&lt;=Params!$C$2),"Efficace",IF(AND(N($F62)&gt;=Params!$C$4,OR(N($I62)&lt;=Params!$F$3,N($E62)&gt;=Params!$B$4)),"Bloqué",IF(AND(OR(N($G62)&gt;=Params!$D$4,N($H62)&gt;=Params!$E$4),N($I62)&lt;=Params!$F$3),"Persévérant",IF(AND(N($J62)&gt;=Params!$G$4,OR(N($G62)&lt;=Params!$D$3,N($H62)&lt;=Params!$E$3)),"Sporadique","Intermédiaire"))))))</f>
        <v>Intermédiaire</v>
      </c>
      <c r="E62" s="6">
        <f t="array" ref="E62">XLOOKUP(A62, EQ!A:A, EQ!B:B, "")</f>
        <v>0.2</v>
      </c>
      <c r="F62" s="6">
        <f t="array" ref="F62">XLOOKUP(A62, RED!A:A, RED!B:B, "")</f>
        <v>0.1</v>
      </c>
      <c r="G62" s="3">
        <f t="shared" si="19"/>
        <v>6</v>
      </c>
      <c r="H62" s="3">
        <f t="shared" ref="H62:K62" si="63">XLOOKUP($A62, INDIRECT("'"&amp;H$1&amp;"'!A:A"), INDIRECT("'"&amp;H$1&amp;"'!B:B"), "")</f>
        <v>1</v>
      </c>
      <c r="I62" s="3">
        <f t="shared" si="63"/>
        <v>0.6666666667</v>
      </c>
      <c r="J62" s="3">
        <f t="shared" si="63"/>
        <v>0</v>
      </c>
      <c r="K62" s="3">
        <f t="shared" si="63"/>
        <v>0.38636383</v>
      </c>
    </row>
    <row r="63" ht="112.5" customHeight="1">
      <c r="A63" s="3" t="str">
        <f>EQ!A14</f>
        <v>23e416c6f9deb987ac8f8f136e8551133ba63c734122e2f82eaeec72b03bad9e</v>
      </c>
      <c r="B63" s="3">
        <f t="array" ref="B63">XLOOKUP(A63, Notes!A:A, Notes!B:B, "")</f>
        <v>65.54</v>
      </c>
      <c r="C63" s="3" t="str">
        <f>IFERROR(IMAGE(VLOOKUP(A63,DriveImages!A:C,3,FALSE),4,240,520),"")</f>
        <v/>
      </c>
      <c r="D63" s="3" t="str">
        <f>IF($A63="","",IF(AND(N($G63)&lt;=Params!$D$2,N($H63)&lt;=Params!$E$2),"Peu actif",IF(AND(N($I63)&gt;=Params!$F$4,N($E63)&lt;=Params!$B$2,N($F63)&lt;=Params!$C$2),"Efficace",IF(AND(N($F63)&gt;=Params!$C$4,OR(N($I63)&lt;=Params!$F$3,N($E63)&gt;=Params!$B$4)),"Bloqué",IF(AND(OR(N($G63)&gt;=Params!$D$4,N($H63)&gt;=Params!$E$4),N($I63)&lt;=Params!$F$3),"Persévérant",IF(AND(N($J63)&gt;=Params!$G$4,OR(N($G63)&lt;=Params!$D$3,N($H63)&lt;=Params!$E$3)),"Sporadique","Intermédiaire"))))))</f>
        <v>Persévérant</v>
      </c>
      <c r="E63" s="6">
        <f t="array" ref="E63">XLOOKUP(A63, EQ!A:A, EQ!B:B, "")</f>
        <v>0.5416666667</v>
      </c>
      <c r="F63" s="6">
        <f t="array" ref="F63">XLOOKUP(A63, RED!A:A, RED!B:B, "")</f>
        <v>0.46180556</v>
      </c>
      <c r="G63" s="3">
        <f t="shared" si="19"/>
        <v>32</v>
      </c>
      <c r="H63" s="3">
        <f t="shared" ref="H63:K63" si="64">XLOOKUP($A63, INDIRECT("'"&amp;H$1&amp;"'!A:A"), INDIRECT("'"&amp;H$1&amp;"'!B:B"), "")</f>
        <v>2</v>
      </c>
      <c r="I63" s="3">
        <f t="shared" si="64"/>
        <v>0.375</v>
      </c>
      <c r="J63" s="3">
        <f t="shared" si="64"/>
        <v>0.03225806452</v>
      </c>
      <c r="K63" s="3">
        <f t="shared" si="64"/>
        <v>0.35602675</v>
      </c>
    </row>
    <row r="64" ht="112.5" customHeight="1">
      <c r="A64" s="3" t="str">
        <f>EQ!A92</f>
        <v>d46637522853433efdf1806e2e5336c312d5ba0ff0a32b80468e96b8abf11c04</v>
      </c>
      <c r="B64" s="3">
        <f t="array" ref="B64">XLOOKUP(A64, Notes!A:A, Notes!B:B, "")</f>
        <v>23.25</v>
      </c>
      <c r="C64" s="3" t="str">
        <f>IFERROR(IMAGE(VLOOKUP(A64,DriveImages!A:C,3,FALSE),4,240,520),"")</f>
        <v/>
      </c>
      <c r="D64" s="3" t="str">
        <f>IF($A64="","",IF(AND(N($G64)&lt;=Params!$D$2,N($H64)&lt;=Params!$E$2),"Peu actif",IF(AND(N($I64)&gt;=Params!$F$4,N($E64)&lt;=Params!$B$2,N($F64)&lt;=Params!$C$2),"Efficace",IF(AND(N($F64)&gt;=Params!$C$4,OR(N($I64)&lt;=Params!$F$3,N($E64)&gt;=Params!$B$4)),"Bloqué",IF(AND(OR(N($G64)&gt;=Params!$D$4,N($H64)&gt;=Params!$E$4),N($I64)&lt;=Params!$F$3),"Persévérant",IF(AND(N($J64)&gt;=Params!$G$4,OR(N($G64)&lt;=Params!$D$3,N($H64)&lt;=Params!$E$3)),"Sporadique","Intermédiaire"))))))</f>
        <v>Bloqué</v>
      </c>
      <c r="E64" s="6">
        <f t="array" ref="E64">XLOOKUP(A64, EQ!A:A, EQ!B:B, "")</f>
        <v>0.6470588235</v>
      </c>
      <c r="F64" s="6">
        <f t="array" ref="F64">XLOOKUP(A64, RED!A:A, RED!B:B, "")</f>
        <v>0.59313725</v>
      </c>
      <c r="G64" s="3">
        <f t="shared" si="19"/>
        <v>22</v>
      </c>
      <c r="H64" s="3">
        <f t="shared" ref="H64:K64" si="65">XLOOKUP($A64, INDIRECT("'"&amp;H$1&amp;"'!A:A"), INDIRECT("'"&amp;H$1&amp;"'!B:B"), "")</f>
        <v>4</v>
      </c>
      <c r="I64" s="3">
        <f t="shared" si="65"/>
        <v>0.4090909091</v>
      </c>
      <c r="J64" s="3">
        <f t="shared" si="65"/>
        <v>0.1428571429</v>
      </c>
      <c r="K64" s="3">
        <f t="shared" si="65"/>
        <v>0.344389</v>
      </c>
    </row>
    <row r="65" ht="112.5" customHeight="1">
      <c r="A65" s="3" t="str">
        <f>EQ!A74</f>
        <v>aff3f9448ca917cc6f9b0fa8f92a2dadcee4f890337259421ce866e71ff22c49</v>
      </c>
      <c r="B65" s="3">
        <f t="array" ref="B65">XLOOKUP(A65, Notes!A:A, Notes!B:B, "")</f>
        <v>76.45</v>
      </c>
      <c r="C65" s="3" t="str">
        <f>IFERROR(IMAGE(VLOOKUP(A65,DriveImages!A:C,3,FALSE),4,240,520),"")</f>
        <v/>
      </c>
      <c r="D65" s="3" t="str">
        <f>IF($A65="","",IF(AND(N($G65)&lt;=Params!$D$2,N($H65)&lt;=Params!$E$2),"Peu actif",IF(AND(N($I65)&gt;=Params!$F$4,N($E65)&lt;=Params!$B$2,N($F65)&lt;=Params!$C$2),"Efficace",IF(AND(N($F65)&gt;=Params!$C$4,OR(N($I65)&lt;=Params!$F$3,N($E65)&gt;=Params!$B$4)),"Bloqué",IF(AND(OR(N($G65)&gt;=Params!$D$4,N($H65)&gt;=Params!$E$4),N($I65)&lt;=Params!$F$3),"Persévérant",IF(AND(N($J65)&gt;=Params!$G$4,OR(N($G65)&lt;=Params!$D$3,N($H65)&lt;=Params!$E$3)),"Sporadique","Intermédiaire"))))))</f>
        <v>Intermédiaire</v>
      </c>
      <c r="E65" s="6">
        <f t="array" ref="E65">XLOOKUP(A65, EQ!A:A, EQ!B:B, "")</f>
        <v>0.625</v>
      </c>
      <c r="F65" s="6">
        <f t="array" ref="F65">XLOOKUP(A65, RED!A:A, RED!B:B, "")</f>
        <v>0.52083333</v>
      </c>
      <c r="G65" s="3">
        <f t="shared" si="19"/>
        <v>11</v>
      </c>
      <c r="H65" s="3">
        <f t="shared" ref="H65:K65" si="66">XLOOKUP($A65, INDIRECT("'"&amp;H$1&amp;"'!A:A"), INDIRECT("'"&amp;H$1&amp;"'!B:B"), "")</f>
        <v>2</v>
      </c>
      <c r="I65" s="3">
        <f t="shared" si="66"/>
        <v>0.3636363636</v>
      </c>
      <c r="J65" s="3">
        <f t="shared" si="66"/>
        <v>0.1</v>
      </c>
      <c r="K65" s="3">
        <f t="shared" si="66"/>
        <v>0.33766236</v>
      </c>
    </row>
    <row r="66" ht="112.5" customHeight="1">
      <c r="A66" s="3" t="str">
        <f>EQ!A19</f>
        <v>33d11b837cec96010145671e6661210fd68f3004627f8929038256ca7a8d8ebf</v>
      </c>
      <c r="B66" s="3">
        <f t="array" ref="B66">XLOOKUP(A66, Notes!A:A, Notes!B:B, "")</f>
        <v>84.65</v>
      </c>
      <c r="C66" s="3" t="str">
        <f>IFERROR(IMAGE(VLOOKUP(A66,DriveImages!A:C,3,FALSE),4,240,520),"")</f>
        <v/>
      </c>
      <c r="D66" s="3" t="str">
        <f>IF($A66="","",IF(AND(N($G66)&lt;=Params!$D$2,N($H66)&lt;=Params!$E$2),"Peu actif",IF(AND(N($I66)&gt;=Params!$F$4,N($E66)&lt;=Params!$B$2,N($F66)&lt;=Params!$C$2),"Efficace",IF(AND(N($F66)&gt;=Params!$C$4,OR(N($I66)&lt;=Params!$F$3,N($E66)&gt;=Params!$B$4)),"Bloqué",IF(AND(OR(N($G66)&gt;=Params!$D$4,N($H66)&gt;=Params!$E$4),N($I66)&lt;=Params!$F$3),"Persévérant",IF(AND(N($J66)&gt;=Params!$G$4,OR(N($G66)&lt;=Params!$D$3,N($H66)&lt;=Params!$E$3)),"Sporadique","Intermédiaire"))))))</f>
        <v>Efficace</v>
      </c>
      <c r="E66" s="6">
        <f t="array" ref="E66">XLOOKUP(A66, EQ!A:A, EQ!B:B, "")</f>
        <v>0</v>
      </c>
      <c r="F66" s="6">
        <f t="array" ref="F66">XLOOKUP(A66, RED!A:A, RED!B:B, "")</f>
        <v>0</v>
      </c>
      <c r="G66" s="3">
        <f t="shared" si="19"/>
        <v>11</v>
      </c>
      <c r="H66" s="3">
        <f t="shared" ref="H66:K66" si="67">XLOOKUP($A66, INDIRECT("'"&amp;H$1&amp;"'!A:A"), INDIRECT("'"&amp;H$1&amp;"'!B:B"), "")</f>
        <v>2</v>
      </c>
      <c r="I66" s="3">
        <f t="shared" si="67"/>
        <v>0.8181818182</v>
      </c>
      <c r="J66" s="3">
        <f t="shared" si="67"/>
        <v>0.1</v>
      </c>
      <c r="K66" s="3">
        <f t="shared" si="67"/>
        <v>0.33734255</v>
      </c>
    </row>
    <row r="67" ht="112.5" customHeight="1">
      <c r="A67" s="3" t="str">
        <f>EQ!A66</f>
        <v>95e604186e18386f749a6d26e0868477c65803267b7c4d7bf606f77b8bbe1da4</v>
      </c>
      <c r="B67" s="3">
        <f t="array" ref="B67">XLOOKUP(A67, Notes!A:A, Notes!B:B, "")</f>
        <v>60.89</v>
      </c>
      <c r="C67" s="3" t="str">
        <f>IFERROR(IMAGE(VLOOKUP(A67,DriveImages!A:C,3,FALSE),4,240,520),"")</f>
        <v/>
      </c>
      <c r="D67" s="3" t="str">
        <f>IF($A67="","",IF(AND(N($G67)&lt;=Params!$D$2,N($H67)&lt;=Params!$E$2),"Peu actif",IF(AND(N($I67)&gt;=Params!$F$4,N($E67)&lt;=Params!$B$2,N($F67)&lt;=Params!$C$2),"Efficace",IF(AND(N($F67)&gt;=Params!$C$4,OR(N($I67)&lt;=Params!$F$3,N($E67)&gt;=Params!$B$4)),"Bloqué",IF(AND(OR(N($G67)&gt;=Params!$D$4,N($H67)&gt;=Params!$E$4),N($I67)&lt;=Params!$F$3),"Persévérant",IF(AND(N($J67)&gt;=Params!$G$4,OR(N($G67)&lt;=Params!$D$3,N($H67)&lt;=Params!$E$3)),"Sporadique","Intermédiaire"))))))</f>
        <v>Persévérant</v>
      </c>
      <c r="E67" s="6">
        <f t="array" ref="E67">XLOOKUP(A67, EQ!A:A, EQ!B:B, "")</f>
        <v>0.5789473684</v>
      </c>
      <c r="F67" s="6">
        <f t="array" ref="F67">XLOOKUP(A67, RED!A:A, RED!B:B, "")</f>
        <v>0.49649123</v>
      </c>
      <c r="G67" s="3">
        <f t="shared" si="19"/>
        <v>23</v>
      </c>
      <c r="H67" s="3">
        <f t="shared" ref="H67:K67" si="68">XLOOKUP($A67, INDIRECT("'"&amp;H$1&amp;"'!A:A"), INDIRECT("'"&amp;H$1&amp;"'!B:B"), "")</f>
        <v>3</v>
      </c>
      <c r="I67" s="3">
        <f t="shared" si="68"/>
        <v>0.3913043478</v>
      </c>
      <c r="J67" s="3">
        <f t="shared" si="68"/>
        <v>0.09090909091</v>
      </c>
      <c r="K67" s="3">
        <f t="shared" si="68"/>
        <v>0.32095596</v>
      </c>
    </row>
    <row r="68" ht="112.5" customHeight="1">
      <c r="A68" s="3" t="str">
        <f>EQ!A71</f>
        <v>aa3e744d9ea1bfef5bac5c29b695be41bbe453b6bf59bb5ff04d04fe3ddb9b7e</v>
      </c>
      <c r="B68" s="3">
        <f t="array" ref="B68">XLOOKUP(A68, Notes!A:A, Notes!B:B, "")</f>
        <v>76.25</v>
      </c>
      <c r="C68" s="3" t="str">
        <f>IFERROR(IMAGE(VLOOKUP(A68,DriveImages!A:C,3,FALSE),4,240,520),"")</f>
        <v/>
      </c>
      <c r="D68" s="3" t="str">
        <f>IF($A68="","",IF(AND(N($G68)&lt;=Params!$D$2,N($H68)&lt;=Params!$E$2),"Peu actif",IF(AND(N($I68)&gt;=Params!$F$4,N($E68)&lt;=Params!$B$2,N($F68)&lt;=Params!$C$2),"Efficace",IF(AND(N($F68)&gt;=Params!$C$4,OR(N($I68)&lt;=Params!$F$3,N($E68)&gt;=Params!$B$4)),"Bloqué",IF(AND(OR(N($G68)&gt;=Params!$D$4,N($H68)&gt;=Params!$E$4),N($I68)&lt;=Params!$F$3),"Persévérant",IF(AND(N($J68)&gt;=Params!$G$4,OR(N($G68)&lt;=Params!$D$3,N($H68)&lt;=Params!$E$3)),"Sporadique","Intermédiaire"))))))</f>
        <v>Intermédiaire</v>
      </c>
      <c r="E68" s="6">
        <f t="array" ref="E68">XLOOKUP(A68, EQ!A:A, EQ!B:B, "")</f>
        <v>0.2631578947</v>
      </c>
      <c r="F68" s="6">
        <f t="array" ref="F68">XLOOKUP(A68, RED!A:A, RED!B:B, "")</f>
        <v>0.19473684</v>
      </c>
      <c r="G68" s="3">
        <f t="shared" si="19"/>
        <v>23</v>
      </c>
      <c r="H68" s="3">
        <f t="shared" ref="H68:K68" si="69">XLOOKUP($A68, INDIRECT("'"&amp;H$1&amp;"'!A:A"), INDIRECT("'"&amp;H$1&amp;"'!B:B"), "")</f>
        <v>4</v>
      </c>
      <c r="I68" s="3">
        <f t="shared" si="69"/>
        <v>0.5217391304</v>
      </c>
      <c r="J68" s="3">
        <f t="shared" si="69"/>
        <v>0.1363636364</v>
      </c>
      <c r="K68" s="3">
        <f t="shared" si="69"/>
        <v>0.31991483</v>
      </c>
    </row>
    <row r="69" ht="112.5" customHeight="1">
      <c r="A69" s="3" t="str">
        <f>EQ!A39</f>
        <v>60dc13afd9db46855db7cb4b46b2429c473ae61d93c867bb13914cc0ee137a78</v>
      </c>
      <c r="B69" s="3">
        <f t="array" ref="B69">XLOOKUP(A69, Notes!A:A, Notes!B:B, "")</f>
        <v>84.25</v>
      </c>
      <c r="C69" s="3" t="str">
        <f>IFERROR(IMAGE(VLOOKUP(A69,DriveImages!A:C,3,FALSE),4,240,520),"")</f>
        <v/>
      </c>
      <c r="D69" s="3" t="str">
        <f>IF($A69="","",IF(AND(N($G69)&lt;=Params!$D$2,N($H69)&lt;=Params!$E$2),"Peu actif",IF(AND(N($I69)&gt;=Params!$F$4,N($E69)&lt;=Params!$B$2,N($F69)&lt;=Params!$C$2),"Efficace",IF(AND(N($F69)&gt;=Params!$C$4,OR(N($I69)&lt;=Params!$F$3,N($E69)&gt;=Params!$B$4)),"Bloqué",IF(AND(OR(N($G69)&gt;=Params!$D$4,N($H69)&gt;=Params!$E$4),N($I69)&lt;=Params!$F$3),"Persévérant",IF(AND(N($J69)&gt;=Params!$G$4,OR(N($G69)&lt;=Params!$D$3,N($H69)&lt;=Params!$E$3)),"Sporadique","Intermédiaire"))))))</f>
        <v>Efficace</v>
      </c>
      <c r="E69" s="6">
        <f t="array" ref="E69">XLOOKUP(A69, EQ!A:A, EQ!B:B, "")</f>
        <v>0.05555555556</v>
      </c>
      <c r="F69" s="6">
        <f t="array" ref="F69">XLOOKUP(A69, RED!A:A, RED!B:B, "")</f>
        <v>0.02777778</v>
      </c>
      <c r="G69" s="3">
        <f t="shared" si="19"/>
        <v>21</v>
      </c>
      <c r="H69" s="3">
        <f t="shared" ref="H69:K69" si="70">XLOOKUP($A69, INDIRECT("'"&amp;H$1&amp;"'!A:A"), INDIRECT("'"&amp;H$1&amp;"'!B:B"), "")</f>
        <v>3</v>
      </c>
      <c r="I69" s="3">
        <f t="shared" si="70"/>
        <v>0.8095238095</v>
      </c>
      <c r="J69" s="3">
        <f t="shared" si="70"/>
        <v>0.1</v>
      </c>
      <c r="K69" s="3">
        <f t="shared" si="70"/>
        <v>0.3177551</v>
      </c>
    </row>
    <row r="70" ht="112.5" customHeight="1">
      <c r="A70" s="3" t="str">
        <f>EQ!A108</f>
        <v>fa7805c1d46ef49851de43750a665a993eef750b560159967106d3b96821759c</v>
      </c>
      <c r="B70" s="3">
        <f t="array" ref="B70">XLOOKUP(A70, Notes!A:A, Notes!B:B, "")</f>
        <v>69.63</v>
      </c>
      <c r="C70" s="3" t="str">
        <f>IFERROR(IMAGE(VLOOKUP(A70,DriveImages!A:C,3,FALSE),4,240,520),"")</f>
        <v/>
      </c>
      <c r="D70" s="3" t="str">
        <f>IF($A70="","",IF(AND(N($G70)&lt;=Params!$D$2,N($H70)&lt;=Params!$E$2),"Peu actif",IF(AND(N($I70)&gt;=Params!$F$4,N($E70)&lt;=Params!$B$2,N($F70)&lt;=Params!$C$2),"Efficace",IF(AND(N($F70)&gt;=Params!$C$4,OR(N($I70)&lt;=Params!$F$3,N($E70)&gt;=Params!$B$4)),"Bloqué",IF(AND(OR(N($G70)&gt;=Params!$D$4,N($H70)&gt;=Params!$E$4),N($I70)&lt;=Params!$F$3),"Persévérant",IF(AND(N($J70)&gt;=Params!$G$4,OR(N($G70)&lt;=Params!$D$3,N($H70)&lt;=Params!$E$3)),"Sporadique","Intermédiaire"))))))</f>
        <v>Intermédiaire</v>
      </c>
      <c r="E70" s="6">
        <f t="array" ref="E70">XLOOKUP(A70, EQ!A:A, EQ!B:B, "")</f>
        <v>0.5</v>
      </c>
      <c r="F70" s="6">
        <f t="array" ref="F70">XLOOKUP(A70, RED!A:A, RED!B:B, "")</f>
        <v>0.34027778</v>
      </c>
      <c r="G70" s="3">
        <f t="shared" si="19"/>
        <v>17</v>
      </c>
      <c r="H70" s="3">
        <f t="shared" ref="H70:K70" si="71">XLOOKUP($A70, INDIRECT("'"&amp;H$1&amp;"'!A:A"), INDIRECT("'"&amp;H$1&amp;"'!B:B"), "")</f>
        <v>2</v>
      </c>
      <c r="I70" s="3">
        <f t="shared" si="71"/>
        <v>0.4117647059</v>
      </c>
      <c r="J70" s="3">
        <f t="shared" si="71"/>
        <v>0.0625</v>
      </c>
      <c r="K70" s="3">
        <f t="shared" si="71"/>
        <v>0.31181324</v>
      </c>
    </row>
    <row r="71" ht="112.5" customHeight="1">
      <c r="A71" s="3" t="str">
        <f>EQ!A106</f>
        <v>f8461dec16e4e6cc62d1cadd424373bdf634bdc01764d3df74cd9fff9658baff</v>
      </c>
      <c r="B71" s="3">
        <f t="array" ref="B71">XLOOKUP(A71, Notes!A:A, Notes!B:B, "")</f>
        <v>0</v>
      </c>
      <c r="C71" s="3" t="str">
        <f>IFERROR(IMAGE(VLOOKUP(A71,DriveImages!A:C,3,FALSE),4,240,520),"")</f>
        <v/>
      </c>
      <c r="D71" s="3" t="str">
        <f>IF($A71="","",IF(AND(N($G71)&lt;=Params!$D$2,N($H71)&lt;=Params!$E$2),"Peu actif",IF(AND(N($I71)&gt;=Params!$F$4,N($E71)&lt;=Params!$B$2,N($F71)&lt;=Params!$C$2),"Efficace",IF(AND(N($F71)&gt;=Params!$C$4,OR(N($I71)&lt;=Params!$F$3,N($E71)&gt;=Params!$B$4)),"Bloqué",IF(AND(OR(N($G71)&gt;=Params!$D$4,N($H71)&gt;=Params!$E$4),N($I71)&lt;=Params!$F$3),"Persévérant",IF(AND(N($J71)&gt;=Params!$G$4,OR(N($G71)&lt;=Params!$D$3,N($H71)&lt;=Params!$E$3)),"Sporadique","Intermédiaire"))))))</f>
        <v>Persévérant</v>
      </c>
      <c r="E71" s="6">
        <f t="array" ref="E71">XLOOKUP(A71, EQ!A:A, EQ!B:B, "")</f>
        <v>0.6363636364</v>
      </c>
      <c r="F71" s="6">
        <f t="array" ref="F71">XLOOKUP(A71, RED!A:A, RED!B:B, "")</f>
        <v>0.5004329</v>
      </c>
      <c r="G71" s="3">
        <f t="shared" si="19"/>
        <v>29</v>
      </c>
      <c r="H71" s="3">
        <f t="shared" ref="H71:K71" si="72">XLOOKUP($A71, INDIRECT("'"&amp;H$1&amp;"'!A:A"), INDIRECT("'"&amp;H$1&amp;"'!B:B"), "")</f>
        <v>1</v>
      </c>
      <c r="I71" s="3">
        <f t="shared" si="72"/>
        <v>0.3448275862</v>
      </c>
      <c r="J71" s="3">
        <f t="shared" si="72"/>
        <v>0</v>
      </c>
      <c r="K71" s="3">
        <f t="shared" si="72"/>
        <v>0.2942279</v>
      </c>
    </row>
    <row r="72" ht="112.5" customHeight="1">
      <c r="A72" s="3" t="str">
        <f>EQ!A20</f>
        <v>345dad5114b3cd453211fb2463b2677b927fb8bed5528f041e0451dfd0f2dca2</v>
      </c>
      <c r="B72" s="3">
        <f t="array" ref="B72">XLOOKUP(A72, Notes!A:A, Notes!B:B, "")</f>
        <v>64.44</v>
      </c>
      <c r="C72" s="3" t="str">
        <f>IFERROR(IMAGE(VLOOKUP(A72,DriveImages!A:C,3,FALSE),4,240,520),"")</f>
        <v/>
      </c>
      <c r="D72" s="3" t="str">
        <f>IF($A72="","",IF(AND(N($G72)&lt;=Params!$D$2,N($H72)&lt;=Params!$E$2),"Peu actif",IF(AND(N($I72)&gt;=Params!$F$4,N($E72)&lt;=Params!$B$2,N($F72)&lt;=Params!$C$2),"Efficace",IF(AND(N($F72)&gt;=Params!$C$4,OR(N($I72)&lt;=Params!$F$3,N($E72)&gt;=Params!$B$4)),"Bloqué",IF(AND(OR(N($G72)&gt;=Params!$D$4,N($H72)&gt;=Params!$E$4),N($I72)&lt;=Params!$F$3),"Persévérant",IF(AND(N($J72)&gt;=Params!$G$4,OR(N($G72)&lt;=Params!$D$3,N($H72)&lt;=Params!$E$3)),"Sporadique","Intermédiaire"))))))</f>
        <v>Intermédiaire</v>
      </c>
      <c r="E72" s="6">
        <f t="array" ref="E72">XLOOKUP(A72, EQ!A:A, EQ!B:B, "")</f>
        <v>0.2608695652</v>
      </c>
      <c r="F72" s="6">
        <f t="array" ref="F72">XLOOKUP(A72, RED!A:A, RED!B:B, "")</f>
        <v>0.20289855</v>
      </c>
      <c r="G72" s="3">
        <f t="shared" si="19"/>
        <v>26</v>
      </c>
      <c r="H72" s="3">
        <f t="shared" ref="H72:K72" si="73">XLOOKUP($A72, INDIRECT("'"&amp;H$1&amp;"'!A:A"), INDIRECT("'"&amp;H$1&amp;"'!B:B"), "")</f>
        <v>3</v>
      </c>
      <c r="I72" s="3">
        <f t="shared" si="73"/>
        <v>0.5769230769</v>
      </c>
      <c r="J72" s="3">
        <f t="shared" si="73"/>
        <v>0.08</v>
      </c>
      <c r="K72" s="3">
        <f t="shared" si="73"/>
        <v>0.28227772</v>
      </c>
    </row>
    <row r="73" ht="112.5" customHeight="1">
      <c r="A73" s="3" t="str">
        <f>EQ!A84</f>
        <v>c8d01afd1e4a742fb48896441f92f6f4f1c21f02b0059b58f21e1c6efb099eb2</v>
      </c>
      <c r="B73" s="3">
        <f t="array" ref="B73">XLOOKUP(A73, Notes!A:A, Notes!B:B, "")</f>
        <v>89.48</v>
      </c>
      <c r="C73" s="3" t="str">
        <f>IFERROR(IMAGE(VLOOKUP(A73,DriveImages!A:C,3,FALSE),4,240,520),"")</f>
        <v/>
      </c>
      <c r="D73" s="3" t="str">
        <f>IF($A73="","",IF(AND(N($G73)&lt;=Params!$D$2,N($H73)&lt;=Params!$E$2),"Peu actif",IF(AND(N($I73)&gt;=Params!$F$4,N($E73)&lt;=Params!$B$2,N($F73)&lt;=Params!$C$2),"Efficace",IF(AND(N($F73)&gt;=Params!$C$4,OR(N($I73)&lt;=Params!$F$3,N($E73)&gt;=Params!$B$4)),"Bloqué",IF(AND(OR(N($G73)&gt;=Params!$D$4,N($H73)&gt;=Params!$E$4),N($I73)&lt;=Params!$F$3),"Persévérant",IF(AND(N($J73)&gt;=Params!$G$4,OR(N($G73)&lt;=Params!$D$3,N($H73)&lt;=Params!$E$3)),"Sporadique","Intermédiaire"))))))</f>
        <v>Persévérant</v>
      </c>
      <c r="E73" s="6">
        <f t="array" ref="E73">XLOOKUP(A73, EQ!A:A, EQ!B:B, "")</f>
        <v>0.3846153846</v>
      </c>
      <c r="F73" s="6">
        <f t="array" ref="F73">XLOOKUP(A73, RED!A:A, RED!B:B, "")</f>
        <v>0.29326923</v>
      </c>
      <c r="G73" s="3">
        <f t="shared" si="19"/>
        <v>30</v>
      </c>
      <c r="H73" s="3">
        <f t="shared" ref="H73:K73" si="74">XLOOKUP($A73, INDIRECT("'"&amp;H$1&amp;"'!A:A"), INDIRECT("'"&amp;H$1&amp;"'!B:B"), "")</f>
        <v>3</v>
      </c>
      <c r="I73" s="3">
        <f t="shared" si="74"/>
        <v>0.4</v>
      </c>
      <c r="J73" s="3">
        <f t="shared" si="74"/>
        <v>0.06896551724</v>
      </c>
      <c r="K73" s="3">
        <f t="shared" si="74"/>
        <v>0.27229007</v>
      </c>
    </row>
    <row r="74" ht="112.5" customHeight="1">
      <c r="A74" s="3" t="str">
        <f>EQ!A31</f>
        <v>48f565383f47c6752893810686bd0c5f07fef08e34bc22a3f398d3b8c8db7c43</v>
      </c>
      <c r="B74" s="3">
        <f t="array" ref="B74">XLOOKUP(A74, Notes!A:A, Notes!B:B, "")</f>
        <v>56.91</v>
      </c>
      <c r="C74" s="3" t="str">
        <f>IFERROR(IMAGE(VLOOKUP(A74,DriveImages!A:C,3,FALSE),4,240,520),"")</f>
        <v/>
      </c>
      <c r="D74" s="3" t="str">
        <f>IF($A74="","",IF(AND(N($G74)&lt;=Params!$D$2,N($H74)&lt;=Params!$E$2),"Peu actif",IF(AND(N($I74)&gt;=Params!$F$4,N($E74)&lt;=Params!$B$2,N($F74)&lt;=Params!$C$2),"Efficace",IF(AND(N($F74)&gt;=Params!$C$4,OR(N($I74)&lt;=Params!$F$3,N($E74)&gt;=Params!$B$4)),"Bloqué",IF(AND(OR(N($G74)&gt;=Params!$D$4,N($H74)&gt;=Params!$E$4),N($I74)&lt;=Params!$F$3),"Persévérant",IF(AND(N($J74)&gt;=Params!$G$4,OR(N($G74)&lt;=Params!$D$3,N($H74)&lt;=Params!$E$3)),"Sporadique","Intermédiaire"))))))</f>
        <v>Bloqué</v>
      </c>
      <c r="E74" s="6">
        <f t="array" ref="E74">XLOOKUP(A74, EQ!A:A, EQ!B:B, "")</f>
        <v>0.6956521739</v>
      </c>
      <c r="F74" s="6">
        <f t="array" ref="F74">XLOOKUP(A74, RED!A:A, RED!B:B, "")</f>
        <v>0.59075224</v>
      </c>
      <c r="G74" s="3">
        <f t="shared" si="19"/>
        <v>29</v>
      </c>
      <c r="H74" s="3">
        <f t="shared" ref="H74:K74" si="75">XLOOKUP($A74, INDIRECT("'"&amp;H$1&amp;"'!A:A"), INDIRECT("'"&amp;H$1&amp;"'!B:B"), "")</f>
        <v>2</v>
      </c>
      <c r="I74" s="3">
        <f t="shared" si="75"/>
        <v>0.3103448276</v>
      </c>
      <c r="J74" s="3">
        <f t="shared" si="75"/>
        <v>0.03571428571</v>
      </c>
      <c r="K74" s="3">
        <f t="shared" si="75"/>
        <v>0.27032021</v>
      </c>
    </row>
    <row r="75" ht="112.5" customHeight="1">
      <c r="A75" s="3" t="str">
        <f>EQ!A107</f>
        <v>f8dac969c272aabb2ba0adebac1b711f0f174a8288053069be5391c65bb027c3</v>
      </c>
      <c r="B75" s="3">
        <f t="array" ref="B75">XLOOKUP(A75, Notes!A:A, Notes!B:B, "")</f>
        <v>46.94</v>
      </c>
      <c r="C75" s="3" t="str">
        <f>IFERROR(IMAGE(VLOOKUP(A75,DriveImages!A:C,3,FALSE),4,240,520),"")</f>
        <v/>
      </c>
      <c r="D75" s="3" t="str">
        <f>IF($A75="","",IF(AND(N($G75)&lt;=Params!$D$2,N($H75)&lt;=Params!$E$2),"Peu actif",IF(AND(N($I75)&gt;=Params!$F$4,N($E75)&lt;=Params!$B$2,N($F75)&lt;=Params!$C$2),"Efficace",IF(AND(N($F75)&gt;=Params!$C$4,OR(N($I75)&lt;=Params!$F$3,N($E75)&gt;=Params!$B$4)),"Bloqué",IF(AND(OR(N($G75)&gt;=Params!$D$4,N($H75)&gt;=Params!$E$4),N($I75)&lt;=Params!$F$3),"Persévérant",IF(AND(N($J75)&gt;=Params!$G$4,OR(N($G75)&lt;=Params!$D$3,N($H75)&lt;=Params!$E$3)),"Sporadique","Intermédiaire"))))))</f>
        <v>Bloqué</v>
      </c>
      <c r="E75" s="6">
        <f t="array" ref="E75">XLOOKUP(A75, EQ!A:A, EQ!B:B, "")</f>
        <v>0.6666666667</v>
      </c>
      <c r="F75" s="6">
        <f t="array" ref="F75">XLOOKUP(A75, RED!A:A, RED!B:B, "")</f>
        <v>0.54497354</v>
      </c>
      <c r="G75" s="3">
        <f t="shared" si="19"/>
        <v>23</v>
      </c>
      <c r="H75" s="3">
        <f t="shared" ref="H75:K75" si="76">XLOOKUP($A75, INDIRECT("'"&amp;H$1&amp;"'!A:A"), INDIRECT("'"&amp;H$1&amp;"'!B:B"), "")</f>
        <v>2</v>
      </c>
      <c r="I75" s="3">
        <f t="shared" si="76"/>
        <v>0.3043478261</v>
      </c>
      <c r="J75" s="3">
        <f t="shared" si="76"/>
        <v>0.04545454545</v>
      </c>
      <c r="K75" s="3">
        <f t="shared" si="76"/>
        <v>0.26984878</v>
      </c>
    </row>
    <row r="76" ht="112.5" customHeight="1">
      <c r="A76" s="3" t="str">
        <f>EQ!A81</f>
        <v>bfe01fd74f4a333b18002bc2d02ce800bee2e244cc59a5156ca3fcc5a0cdce00</v>
      </c>
      <c r="B76" s="3">
        <f t="array" ref="B76">XLOOKUP(A76, Notes!A:A, Notes!B:B, "")</f>
        <v>73.25</v>
      </c>
      <c r="C76" s="3" t="str">
        <f>IFERROR(IMAGE(VLOOKUP(A76,DriveImages!A:C,3,FALSE),4,240,520),"")</f>
        <v/>
      </c>
      <c r="D76" s="3" t="str">
        <f>IF($A76="","",IF(AND(N($G76)&lt;=Params!$D$2,N($H76)&lt;=Params!$E$2),"Peu actif",IF(AND(N($I76)&gt;=Params!$F$4,N($E76)&lt;=Params!$B$2,N($F76)&lt;=Params!$C$2),"Efficace",IF(AND(N($F76)&gt;=Params!$C$4,OR(N($I76)&lt;=Params!$F$3,N($E76)&gt;=Params!$B$4)),"Bloqué",IF(AND(OR(N($G76)&gt;=Params!$D$4,N($H76)&gt;=Params!$E$4),N($I76)&lt;=Params!$F$3),"Persévérant",IF(AND(N($J76)&gt;=Params!$G$4,OR(N($G76)&lt;=Params!$D$3,N($H76)&lt;=Params!$E$3)),"Sporadique","Intermédiaire"))))))</f>
        <v>Intermédiaire</v>
      </c>
      <c r="E76" s="6">
        <f t="array" ref="E76">XLOOKUP(A76, EQ!A:A, EQ!B:B, "")</f>
        <v>0.4</v>
      </c>
      <c r="F76" s="6">
        <f t="array" ref="F76">XLOOKUP(A76, RED!A:A, RED!B:B, "")</f>
        <v>0.26666667</v>
      </c>
      <c r="G76" s="3">
        <f t="shared" si="19"/>
        <v>6</v>
      </c>
      <c r="H76" s="3">
        <f t="shared" ref="H76:K76" si="77">XLOOKUP($A76, INDIRECT("'"&amp;H$1&amp;"'!A:A"), INDIRECT("'"&amp;H$1&amp;"'!B:B"), "")</f>
        <v>1</v>
      </c>
      <c r="I76" s="3">
        <f t="shared" si="77"/>
        <v>0.5</v>
      </c>
      <c r="J76" s="3">
        <f t="shared" si="77"/>
        <v>0</v>
      </c>
      <c r="K76" s="3">
        <f t="shared" si="77"/>
        <v>0.26</v>
      </c>
    </row>
    <row r="77" ht="112.5" customHeight="1">
      <c r="A77" s="3" t="str">
        <f>EQ!A9</f>
        <v>125ae2e6409e498cf96017e4f7168a1612ea2f181a0ea99530cfafb7b3a64807</v>
      </c>
      <c r="B77" s="3">
        <f t="array" ref="B77">XLOOKUP(A77, Notes!A:A, Notes!B:B, "")</f>
        <v>89.91</v>
      </c>
      <c r="C77" s="3" t="str">
        <f>IFERROR(IMAGE(VLOOKUP(A77,DriveImages!A:C,3,FALSE),4,240,520),"")</f>
        <v/>
      </c>
      <c r="D77" s="3" t="str">
        <f>IF($A77="","",IF(AND(N($G77)&lt;=Params!$D$2,N($H77)&lt;=Params!$E$2),"Peu actif",IF(AND(N($I77)&gt;=Params!$F$4,N($E77)&lt;=Params!$B$2,N($F77)&lt;=Params!$C$2),"Efficace",IF(AND(N($F77)&gt;=Params!$C$4,OR(N($I77)&lt;=Params!$F$3,N($E77)&gt;=Params!$B$4)),"Bloqué",IF(AND(OR(N($G77)&gt;=Params!$D$4,N($H77)&gt;=Params!$E$4),N($I77)&lt;=Params!$F$3),"Persévérant",IF(AND(N($J77)&gt;=Params!$G$4,OR(N($G77)&lt;=Params!$D$3,N($H77)&lt;=Params!$E$3)),"Sporadique","Intermédiaire"))))))</f>
        <v>Intermédiaire</v>
      </c>
      <c r="E77" s="6">
        <f t="array" ref="E77">XLOOKUP(A77, EQ!A:A, EQ!B:B, "")</f>
        <v>0.5333333333</v>
      </c>
      <c r="F77" s="6">
        <f t="array" ref="F77">XLOOKUP(A77, RED!A:A, RED!B:B, "")</f>
        <v>0.42777778</v>
      </c>
      <c r="G77" s="3">
        <f t="shared" si="19"/>
        <v>17</v>
      </c>
      <c r="H77" s="3">
        <f t="shared" ref="H77:K77" si="78">XLOOKUP($A77, INDIRECT("'"&amp;H$1&amp;"'!A:A"), INDIRECT("'"&amp;H$1&amp;"'!B:B"), "")</f>
        <v>2</v>
      </c>
      <c r="I77" s="3">
        <f t="shared" si="78"/>
        <v>0.3529411765</v>
      </c>
      <c r="J77" s="3">
        <f t="shared" si="78"/>
        <v>0.0625</v>
      </c>
      <c r="K77" s="3">
        <f t="shared" si="78"/>
        <v>0.25668447</v>
      </c>
    </row>
    <row r="78" ht="112.5" customHeight="1">
      <c r="A78" s="3" t="str">
        <f>EQ!A45</f>
        <v>6dd7cb5359f54edb9eb0becd33d19118d3e93e266ef7644cf7b9ad2b9ed1262d</v>
      </c>
      <c r="B78" s="3">
        <f t="array" ref="B78">XLOOKUP(A78, Notes!A:A, Notes!B:B, "")</f>
        <v>66.53</v>
      </c>
      <c r="C78" s="3" t="str">
        <f>IFERROR(IMAGE(VLOOKUP(A78,DriveImages!A:C,3,FALSE),4,240,520),"")</f>
        <v/>
      </c>
      <c r="D78" s="3" t="str">
        <f>IF($A78="","",IF(AND(N($G78)&lt;=Params!$D$2,N($H78)&lt;=Params!$E$2),"Peu actif",IF(AND(N($I78)&gt;=Params!$F$4,N($E78)&lt;=Params!$B$2,N($F78)&lt;=Params!$C$2),"Efficace",IF(AND(N($F78)&gt;=Params!$C$4,OR(N($I78)&lt;=Params!$F$3,N($E78)&gt;=Params!$B$4)),"Bloqué",IF(AND(OR(N($G78)&gt;=Params!$D$4,N($H78)&gt;=Params!$E$4),N($I78)&lt;=Params!$F$3),"Persévérant",IF(AND(N($J78)&gt;=Params!$G$4,OR(N($G78)&lt;=Params!$D$3,N($H78)&lt;=Params!$E$3)),"Sporadique","Intermédiaire"))))))</f>
        <v>Bloqué</v>
      </c>
      <c r="E78" s="6">
        <f t="array" ref="E78">XLOOKUP(A78, EQ!A:A, EQ!B:B, "")</f>
        <v>0.7142857143</v>
      </c>
      <c r="F78" s="6">
        <f t="array" ref="F78">XLOOKUP(A78, RED!A:A, RED!B:B, "")</f>
        <v>0.63061224</v>
      </c>
      <c r="G78" s="3">
        <f t="shared" si="19"/>
        <v>24</v>
      </c>
      <c r="H78" s="3">
        <f t="shared" ref="H78:K78" si="79">XLOOKUP($A78, INDIRECT("'"&amp;H$1&amp;"'!A:A"), INDIRECT("'"&amp;H$1&amp;"'!B:B"), "")</f>
        <v>3</v>
      </c>
      <c r="I78" s="3">
        <f t="shared" si="79"/>
        <v>0.2916666667</v>
      </c>
      <c r="J78" s="3">
        <f t="shared" si="79"/>
        <v>0.08695652174</v>
      </c>
      <c r="K78" s="3">
        <f t="shared" si="79"/>
        <v>0.25465838</v>
      </c>
    </row>
    <row r="79" ht="112.5" customHeight="1">
      <c r="A79" s="3" t="str">
        <f>EQ!A67</f>
        <v>a000fa4903a3a8290435e1735ea6773bf2f2a14d1b5e564b6ab0e060b8e38688</v>
      </c>
      <c r="B79" s="3">
        <f t="array" ref="B79">XLOOKUP(A79, Notes!A:A, Notes!B:B, "")</f>
        <v>71.44</v>
      </c>
      <c r="C79" s="3" t="str">
        <f>IFERROR(IMAGE(VLOOKUP(A79,DriveImages!A:C,3,FALSE),4,240,520),"")</f>
        <v/>
      </c>
      <c r="D79" s="3" t="str">
        <f>IF($A79="","",IF(AND(N($G79)&lt;=Params!$D$2,N($H79)&lt;=Params!$E$2),"Peu actif",IF(AND(N($I79)&gt;=Params!$F$4,N($E79)&lt;=Params!$B$2,N($F79)&lt;=Params!$C$2),"Efficace",IF(AND(N($F79)&gt;=Params!$C$4,OR(N($I79)&lt;=Params!$F$3,N($E79)&gt;=Params!$B$4)),"Bloqué",IF(AND(OR(N($G79)&gt;=Params!$D$4,N($H79)&gt;=Params!$E$4),N($I79)&lt;=Params!$F$3),"Persévérant",IF(AND(N($J79)&gt;=Params!$G$4,OR(N($G79)&lt;=Params!$D$3,N($H79)&lt;=Params!$E$3)),"Sporadique","Intermédiaire"))))))</f>
        <v>Bloqué</v>
      </c>
      <c r="E79" s="6">
        <f t="array" ref="E79">XLOOKUP(A79, EQ!A:A, EQ!B:B, "")</f>
        <v>0.6666666667</v>
      </c>
      <c r="F79" s="6">
        <f t="array" ref="F79">XLOOKUP(A79, RED!A:A, RED!B:B, "")</f>
        <v>0.57142857</v>
      </c>
      <c r="G79" s="3">
        <f t="shared" si="19"/>
        <v>13</v>
      </c>
      <c r="H79" s="3">
        <f t="shared" ref="H79:K79" si="80">XLOOKUP($A79, INDIRECT("'"&amp;H$1&amp;"'!A:A"), INDIRECT("'"&amp;H$1&amp;"'!B:B"), "")</f>
        <v>4</v>
      </c>
      <c r="I79" s="3">
        <f t="shared" si="80"/>
        <v>0.3846153846</v>
      </c>
      <c r="J79" s="3">
        <f t="shared" si="80"/>
        <v>0.25</v>
      </c>
      <c r="K79" s="3">
        <f t="shared" si="80"/>
        <v>0.25</v>
      </c>
    </row>
    <row r="80" ht="112.5" customHeight="1">
      <c r="A80" s="3" t="str">
        <f>EQ!A99</f>
        <v>e4380b18857e28837873b807b4ee2bee2e199a3536f56fb56fb5949de4c17a77</v>
      </c>
      <c r="B80" s="3">
        <f t="array" ref="B80">XLOOKUP(A80, Notes!A:A, Notes!B:B, "")</f>
        <v>66.48</v>
      </c>
      <c r="C80" s="3" t="str">
        <f>IFERROR(IMAGE(VLOOKUP(A80,DriveImages!A:C,3,FALSE),4,240,520),"")</f>
        <v/>
      </c>
      <c r="D80" s="3" t="str">
        <f>IF($A80="","",IF(AND(N($G80)&lt;=Params!$D$2,N($H80)&lt;=Params!$E$2),"Peu actif",IF(AND(N($I80)&gt;=Params!$F$4,N($E80)&lt;=Params!$B$2,N($F80)&lt;=Params!$C$2),"Efficace",IF(AND(N($F80)&gt;=Params!$C$4,OR(N($I80)&lt;=Params!$F$3,N($E80)&gt;=Params!$B$4)),"Bloqué",IF(AND(OR(N($G80)&gt;=Params!$D$4,N($H80)&gt;=Params!$E$4),N($I80)&lt;=Params!$F$3),"Persévérant",IF(AND(N($J80)&gt;=Params!$G$4,OR(N($G80)&lt;=Params!$D$3,N($H80)&lt;=Params!$E$3)),"Sporadique","Intermédiaire"))))))</f>
        <v>Peu actif</v>
      </c>
      <c r="E80" s="6">
        <f t="array" ref="E80">XLOOKUP(A80, EQ!A:A, EQ!B:B, "")</f>
        <v>0.6666666667</v>
      </c>
      <c r="F80" s="6">
        <f t="array" ref="F80">XLOOKUP(A80, RED!A:A, RED!B:B, "")</f>
        <v>0.44444444</v>
      </c>
      <c r="G80" s="3">
        <f t="shared" si="19"/>
        <v>4</v>
      </c>
      <c r="H80" s="3">
        <f t="shared" ref="H80:K80" si="81">XLOOKUP($A80, INDIRECT("'"&amp;H$1&amp;"'!A:A"), INDIRECT("'"&amp;H$1&amp;"'!B:B"), "")</f>
        <v>1</v>
      </c>
      <c r="I80" s="3">
        <f t="shared" si="81"/>
        <v>0.25</v>
      </c>
      <c r="J80" s="3">
        <f t="shared" si="81"/>
        <v>0</v>
      </c>
      <c r="K80" s="3">
        <f t="shared" si="81"/>
        <v>0.25</v>
      </c>
    </row>
    <row r="81" ht="112.5" customHeight="1">
      <c r="A81" s="3" t="str">
        <f>EQ!A55</f>
        <v>8630de5bd303be8b63ba99b787f0f5ed4422765c8917b234cb8a2af6b762ca1d</v>
      </c>
      <c r="B81" s="3">
        <f t="array" ref="B81">XLOOKUP(A81, Notes!A:A, Notes!B:B, "")</f>
        <v>34.25</v>
      </c>
      <c r="C81" s="3" t="str">
        <f>IFERROR(IMAGE(VLOOKUP(A81,DriveImages!A:C,3,FALSE),4,240,520),"")</f>
        <v/>
      </c>
      <c r="D81" s="3" t="str">
        <f>IF($A81="","",IF(AND(N($G81)&lt;=Params!$D$2,N($H81)&lt;=Params!$E$2),"Peu actif",IF(AND(N($I81)&gt;=Params!$F$4,N($E81)&lt;=Params!$B$2,N($F81)&lt;=Params!$C$2),"Efficace",IF(AND(N($F81)&gt;=Params!$C$4,OR(N($I81)&lt;=Params!$F$3,N($E81)&gt;=Params!$B$4)),"Bloqué",IF(AND(OR(N($G81)&gt;=Params!$D$4,N($H81)&gt;=Params!$E$4),N($I81)&lt;=Params!$F$3),"Persévérant",IF(AND(N($J81)&gt;=Params!$G$4,OR(N($G81)&lt;=Params!$D$3,N($H81)&lt;=Params!$E$3)),"Sporadique","Intermédiaire"))))))</f>
        <v>Bloqué</v>
      </c>
      <c r="E81" s="6">
        <f t="array" ref="E81">XLOOKUP(A81, EQ!A:A, EQ!B:B, "")</f>
        <v>0.7</v>
      </c>
      <c r="F81" s="6">
        <f t="array" ref="F81">XLOOKUP(A81, RED!A:A, RED!B:B, "")</f>
        <v>0.6125</v>
      </c>
      <c r="G81" s="3">
        <f t="shared" si="19"/>
        <v>11</v>
      </c>
      <c r="H81" s="3">
        <f t="shared" ref="H81:K81" si="82">XLOOKUP($A81, INDIRECT("'"&amp;H$1&amp;"'!A:A"), INDIRECT("'"&amp;H$1&amp;"'!B:B"), "")</f>
        <v>3</v>
      </c>
      <c r="I81" s="3">
        <f t="shared" si="82"/>
        <v>0.2727272727</v>
      </c>
      <c r="J81" s="3">
        <f t="shared" si="82"/>
        <v>0.2</v>
      </c>
      <c r="K81" s="3">
        <f t="shared" si="82"/>
        <v>0.24901191</v>
      </c>
    </row>
    <row r="82" ht="112.5" customHeight="1">
      <c r="A82" s="3" t="str">
        <f>EQ!A32</f>
        <v>4d1ccd3b1393438168aeac88ee6d753d95c33c77fcc46afa13a5415a265323c2</v>
      </c>
      <c r="B82" s="3">
        <f t="array" ref="B82">XLOOKUP(A82, Notes!A:A, Notes!B:B, "")</f>
        <v>51</v>
      </c>
      <c r="C82" s="3" t="str">
        <f>IFERROR(IMAGE(VLOOKUP(A82,DriveImages!A:C,3,FALSE),4,240,520),"")</f>
        <v/>
      </c>
      <c r="D82" s="3" t="str">
        <f>IF($A82="","",IF(AND(N($G82)&lt;=Params!$D$2,N($H82)&lt;=Params!$E$2),"Peu actif",IF(AND(N($I82)&gt;=Params!$F$4,N($E82)&lt;=Params!$B$2,N($F82)&lt;=Params!$C$2),"Efficace",IF(AND(N($F82)&gt;=Params!$C$4,OR(N($I82)&lt;=Params!$F$3,N($E82)&gt;=Params!$B$4)),"Bloqué",IF(AND(OR(N($G82)&gt;=Params!$D$4,N($H82)&gt;=Params!$E$4),N($I82)&lt;=Params!$F$3),"Persévérant",IF(AND(N($J82)&gt;=Params!$G$4,OR(N($G82)&lt;=Params!$D$3,N($H82)&lt;=Params!$E$3)),"Sporadique","Intermédiaire"))))))</f>
        <v>Persévérant</v>
      </c>
      <c r="E82" s="6">
        <f t="array" ref="E82">XLOOKUP(A82, EQ!A:A, EQ!B:B, "")</f>
        <v>0.3461538462</v>
      </c>
      <c r="F82" s="6">
        <f t="array" ref="F82">XLOOKUP(A82, RED!A:A, RED!B:B, "")</f>
        <v>0.25</v>
      </c>
      <c r="G82" s="3">
        <f t="shared" si="19"/>
        <v>27</v>
      </c>
      <c r="H82" s="3">
        <f t="shared" ref="H82:K82" si="83">XLOOKUP($A82, INDIRECT("'"&amp;H$1&amp;"'!A:A"), INDIRECT("'"&amp;H$1&amp;"'!B:B"), "")</f>
        <v>2</v>
      </c>
      <c r="I82" s="3">
        <f t="shared" si="83"/>
        <v>0.4074074074</v>
      </c>
      <c r="J82" s="3">
        <f t="shared" si="83"/>
        <v>0.03846153846</v>
      </c>
      <c r="K82" s="3">
        <f t="shared" si="83"/>
        <v>0.2323233</v>
      </c>
    </row>
    <row r="83" ht="112.5" customHeight="1">
      <c r="A83" s="3" t="str">
        <f>EQ!A17</f>
        <v>2f002333e3ee078069a370adede771895a413b747a8039cfe1f8b6d5f579fcc5</v>
      </c>
      <c r="B83" s="3">
        <f t="array" ref="B83">XLOOKUP(A83, Notes!A:A, Notes!B:B, "")</f>
        <v>88.66</v>
      </c>
      <c r="C83" s="3" t="str">
        <f>IFERROR(IMAGE(VLOOKUP(A83,DriveImages!A:C,3,FALSE),4,240,520),"")</f>
        <v/>
      </c>
      <c r="D83" s="3" t="str">
        <f>IF($A83="","",IF(AND(N($G83)&lt;=Params!$D$2,N($H83)&lt;=Params!$E$2),"Peu actif",IF(AND(N($I83)&gt;=Params!$F$4,N($E83)&lt;=Params!$B$2,N($F83)&lt;=Params!$C$2),"Efficace",IF(AND(N($F83)&gt;=Params!$C$4,OR(N($I83)&lt;=Params!$F$3,N($E83)&gt;=Params!$B$4)),"Bloqué",IF(AND(OR(N($G83)&gt;=Params!$D$4,N($H83)&gt;=Params!$E$4),N($I83)&lt;=Params!$F$3),"Persévérant",IF(AND(N($J83)&gt;=Params!$G$4,OR(N($G83)&lt;=Params!$D$3,N($H83)&lt;=Params!$E$3)),"Sporadique","Intermédiaire"))))))</f>
        <v>Persévérant</v>
      </c>
      <c r="E83" s="6">
        <f t="array" ref="E83">XLOOKUP(A83, EQ!A:A, EQ!B:B, "")</f>
        <v>0.52</v>
      </c>
      <c r="F83" s="6">
        <f t="array" ref="F83">XLOOKUP(A83, RED!A:A, RED!B:B, "")</f>
        <v>0.386</v>
      </c>
      <c r="G83" s="3">
        <f t="shared" si="19"/>
        <v>30</v>
      </c>
      <c r="H83" s="3">
        <f t="shared" ref="H83:K83" si="84">XLOOKUP($A83, INDIRECT("'"&amp;H$1&amp;"'!A:A"), INDIRECT("'"&amp;H$1&amp;"'!B:B"), "")</f>
        <v>2</v>
      </c>
      <c r="I83" s="3">
        <f t="shared" si="84"/>
        <v>0.3666666667</v>
      </c>
      <c r="J83" s="3">
        <f t="shared" si="84"/>
        <v>0.03448275862</v>
      </c>
      <c r="K83" s="3">
        <f t="shared" si="84"/>
        <v>0.22630303</v>
      </c>
    </row>
    <row r="84" ht="112.5" customHeight="1">
      <c r="A84" s="3" t="str">
        <f>EQ!A29</f>
        <v>4557b3c2bc31d36048e3c48befc7212d35b7d0d885d3d1f102c9060238b5090a</v>
      </c>
      <c r="B84" s="3">
        <f t="array" ref="B84">XLOOKUP(A84, Notes!A:A, Notes!B:B, "")</f>
        <v>55.11</v>
      </c>
      <c r="C84" s="3" t="str">
        <f>IFERROR(IMAGE(VLOOKUP(A84,DriveImages!A:C,3,FALSE),4,240,520),"")</f>
        <v/>
      </c>
      <c r="D84" s="3" t="str">
        <f>IF($A84="","",IF(AND(N($G84)&lt;=Params!$D$2,N($H84)&lt;=Params!$E$2),"Peu actif",IF(AND(N($I84)&gt;=Params!$F$4,N($E84)&lt;=Params!$B$2,N($F84)&lt;=Params!$C$2),"Efficace",IF(AND(N($F84)&gt;=Params!$C$4,OR(N($I84)&lt;=Params!$F$3,N($E84)&gt;=Params!$B$4)),"Bloqué",IF(AND(OR(N($G84)&gt;=Params!$D$4,N($H84)&gt;=Params!$E$4),N($I84)&lt;=Params!$F$3),"Persévérant",IF(AND(N($J84)&gt;=Params!$G$4,OR(N($G84)&lt;=Params!$D$3,N($H84)&lt;=Params!$E$3)),"Sporadique","Intermédiaire"))))))</f>
        <v>Bloqué</v>
      </c>
      <c r="E84" s="6">
        <f t="array" ref="E84">XLOOKUP(A84, EQ!A:A, EQ!B:B, "")</f>
        <v>0.6923076923</v>
      </c>
      <c r="F84" s="6">
        <f t="array" ref="F84">XLOOKUP(A84, RED!A:A, RED!B:B, "")</f>
        <v>0.58547009</v>
      </c>
      <c r="G84" s="3">
        <f t="shared" si="19"/>
        <v>15</v>
      </c>
      <c r="H84" s="3">
        <f t="shared" ref="H84:K84" si="85">XLOOKUP($A84, INDIRECT("'"&amp;H$1&amp;"'!A:A"), INDIRECT("'"&amp;H$1&amp;"'!B:B"), "")</f>
        <v>2</v>
      </c>
      <c r="I84" s="3">
        <f t="shared" si="85"/>
        <v>0.2666666667</v>
      </c>
      <c r="J84" s="3">
        <f t="shared" si="85"/>
        <v>0.07142857143</v>
      </c>
      <c r="K84" s="3">
        <f t="shared" si="85"/>
        <v>0.22028987</v>
      </c>
    </row>
    <row r="85" ht="112.5" customHeight="1">
      <c r="A85" s="3" t="str">
        <f>EQ!A54</f>
        <v>8535ef1089f557f019e2fa787114fa1819dadf2106ea8f0b82f86e57f914ea2d</v>
      </c>
      <c r="B85" s="3">
        <f t="array" ref="B85">XLOOKUP(A85, Notes!A:A, Notes!B:B, "")</f>
        <v>43.25</v>
      </c>
      <c r="C85" s="3" t="str">
        <f>IFERROR(IMAGE(VLOOKUP(A85,DriveImages!A:C,3,FALSE),4,240,520),"")</f>
        <v/>
      </c>
      <c r="D85" s="3" t="str">
        <f>IF($A85="","",IF(AND(N($G85)&lt;=Params!$D$2,N($H85)&lt;=Params!$E$2),"Peu actif",IF(AND(N($I85)&gt;=Params!$F$4,N($E85)&lt;=Params!$B$2,N($F85)&lt;=Params!$C$2),"Efficace",IF(AND(N($F85)&gt;=Params!$C$4,OR(N($I85)&lt;=Params!$F$3,N($E85)&gt;=Params!$B$4)),"Bloqué",IF(AND(OR(N($G85)&gt;=Params!$D$4,N($H85)&gt;=Params!$E$4),N($I85)&lt;=Params!$F$3),"Persévérant",IF(AND(N($J85)&gt;=Params!$G$4,OR(N($G85)&lt;=Params!$D$3,N($H85)&lt;=Params!$E$3)),"Sporadique","Intermédiaire"))))))</f>
        <v>Intermédiaire</v>
      </c>
      <c r="E85" s="6">
        <f t="array" ref="E85">XLOOKUP(A85, EQ!A:A, EQ!B:B, "")</f>
        <v>0.5</v>
      </c>
      <c r="F85" s="6">
        <f t="array" ref="F85">XLOOKUP(A85, RED!A:A, RED!B:B, "")</f>
        <v>0.4</v>
      </c>
      <c r="G85" s="3">
        <f t="shared" si="19"/>
        <v>10</v>
      </c>
      <c r="H85" s="3">
        <f t="shared" ref="H85:K85" si="86">XLOOKUP($A85, INDIRECT("'"&amp;H$1&amp;"'!A:A"), INDIRECT("'"&amp;H$1&amp;"'!B:B"), "")</f>
        <v>2</v>
      </c>
      <c r="I85" s="3">
        <f t="shared" si="86"/>
        <v>0.3</v>
      </c>
      <c r="J85" s="3">
        <f t="shared" si="86"/>
        <v>0.1111111111</v>
      </c>
      <c r="K85" s="3">
        <f t="shared" si="86"/>
        <v>0.2047619</v>
      </c>
    </row>
    <row r="86" ht="112.5" customHeight="1">
      <c r="A86" s="3" t="str">
        <f>EQ!A70</f>
        <v>a35833a67176bfc8c1457633e2e41ffb5e4bf6aac7127377e8b9881caf1cf52e</v>
      </c>
      <c r="B86" s="3">
        <f t="array" ref="B86">XLOOKUP(A86, Notes!A:A, Notes!B:B, "")</f>
        <v>47.22</v>
      </c>
      <c r="C86" s="3" t="str">
        <f>IFERROR(IMAGE(VLOOKUP(A86,DriveImages!A:C,3,FALSE),4,240,520),"")</f>
        <v/>
      </c>
      <c r="D86" s="3" t="str">
        <f>IF($A86="","",IF(AND(N($G86)&lt;=Params!$D$2,N($H86)&lt;=Params!$E$2),"Peu actif",IF(AND(N($I86)&gt;=Params!$F$4,N($E86)&lt;=Params!$B$2,N($F86)&lt;=Params!$C$2),"Efficace",IF(AND(N($F86)&gt;=Params!$C$4,OR(N($I86)&lt;=Params!$F$3,N($E86)&gt;=Params!$B$4)),"Bloqué",IF(AND(OR(N($G86)&gt;=Params!$D$4,N($H86)&gt;=Params!$E$4),N($I86)&lt;=Params!$F$3),"Persévérant",IF(AND(N($J86)&gt;=Params!$G$4,OR(N($G86)&lt;=Params!$D$3,N($H86)&lt;=Params!$E$3)),"Sporadique","Intermédiaire"))))))</f>
        <v>Peu actif</v>
      </c>
      <c r="E86" s="6">
        <f t="array" ref="E86">XLOOKUP(A86, EQ!A:A, EQ!B:B, "")</f>
        <v>0.75</v>
      </c>
      <c r="F86" s="6">
        <f t="array" ref="F86">XLOOKUP(A86, RED!A:A, RED!B:B, "")</f>
        <v>0.5625</v>
      </c>
      <c r="G86" s="3">
        <f t="shared" si="19"/>
        <v>5</v>
      </c>
      <c r="H86" s="3">
        <f t="shared" ref="H86:K86" si="87">XLOOKUP($A86, INDIRECT("'"&amp;H$1&amp;"'!A:A"), INDIRECT("'"&amp;H$1&amp;"'!B:B"), "")</f>
        <v>1</v>
      </c>
      <c r="I86" s="3">
        <f t="shared" si="87"/>
        <v>0.2</v>
      </c>
      <c r="J86" s="3">
        <f t="shared" si="87"/>
        <v>0</v>
      </c>
      <c r="K86" s="3">
        <f t="shared" si="87"/>
        <v>0.2</v>
      </c>
    </row>
    <row r="87" ht="112.5" customHeight="1">
      <c r="A87" s="3" t="str">
        <f>EQ!A3</f>
        <v>080e819b7f2ec7fdf5df10abc0092a6ae39db49584244ea555a9ce18c8d57c53</v>
      </c>
      <c r="B87" s="3">
        <f t="array" ref="B87">XLOOKUP(A87, Notes!A:A, Notes!B:B, "")</f>
        <v>56.19</v>
      </c>
      <c r="C87" s="3" t="str">
        <f>IFERROR(IMAGE(VLOOKUP(A87,DriveImages!A:C,3,FALSE),4,240,520),"")</f>
        <v/>
      </c>
      <c r="D87" s="3" t="str">
        <f>IF($A87="","",IF(AND(N($G87)&lt;=Params!$D$2,N($H87)&lt;=Params!$E$2),"Peu actif",IF(AND(N($I87)&gt;=Params!$F$4,N($E87)&lt;=Params!$B$2,N($F87)&lt;=Params!$C$2),"Efficace",IF(AND(N($F87)&gt;=Params!$C$4,OR(N($I87)&lt;=Params!$F$3,N($E87)&gt;=Params!$B$4)),"Bloqué",IF(AND(OR(N($G87)&gt;=Params!$D$4,N($H87)&gt;=Params!$E$4),N($I87)&lt;=Params!$F$3),"Persévérant",IF(AND(N($J87)&gt;=Params!$G$4,OR(N($G87)&lt;=Params!$D$3,N($H87)&lt;=Params!$E$3)),"Sporadique","Intermédiaire"))))))</f>
        <v>Peu actif</v>
      </c>
      <c r="E87" s="6">
        <f t="array" ref="E87">XLOOKUP(A87, EQ!A:A, EQ!B:B, "")</f>
        <v>0.75</v>
      </c>
      <c r="F87" s="6">
        <f t="array" ref="F87">XLOOKUP(A87, RED!A:A, RED!B:B, "")</f>
        <v>0.5625</v>
      </c>
      <c r="G87" s="3">
        <f t="shared" si="19"/>
        <v>5</v>
      </c>
      <c r="H87" s="3">
        <f t="shared" ref="H87:K87" si="88">XLOOKUP($A87, INDIRECT("'"&amp;H$1&amp;"'!A:A"), INDIRECT("'"&amp;H$1&amp;"'!B:B"), "")</f>
        <v>1</v>
      </c>
      <c r="I87" s="3">
        <f t="shared" si="88"/>
        <v>0.2</v>
      </c>
      <c r="J87" s="3">
        <f t="shared" si="88"/>
        <v>0</v>
      </c>
      <c r="K87" s="3">
        <f t="shared" si="88"/>
        <v>0.2</v>
      </c>
    </row>
    <row r="88" ht="112.5" customHeight="1">
      <c r="A88" s="3" t="str">
        <f>EQ!A90</f>
        <v>d24b87329bb09b449a89676a4e96858c289cdfad521c03fb9ce166a83aceb603</v>
      </c>
      <c r="B88" s="3">
        <f t="array" ref="B88">XLOOKUP(A88, Notes!A:A, Notes!B:B, "")</f>
        <v>63.22</v>
      </c>
      <c r="C88" s="3" t="str">
        <f>IFERROR(IMAGE(VLOOKUP(A88,DriveImages!A:C,3,FALSE),4,240,520),"")</f>
        <v/>
      </c>
      <c r="D88" s="3" t="str">
        <f>IF($A88="","",IF(AND(N($G88)&lt;=Params!$D$2,N($H88)&lt;=Params!$E$2),"Peu actif",IF(AND(N($I88)&gt;=Params!$F$4,N($E88)&lt;=Params!$B$2,N($F88)&lt;=Params!$C$2),"Efficace",IF(AND(N($F88)&gt;=Params!$C$4,OR(N($I88)&lt;=Params!$F$3,N($E88)&gt;=Params!$B$4)),"Bloqué",IF(AND(OR(N($G88)&gt;=Params!$D$4,N($H88)&gt;=Params!$E$4),N($I88)&lt;=Params!$F$3),"Persévérant",IF(AND(N($J88)&gt;=Params!$G$4,OR(N($G88)&lt;=Params!$D$3,N($H88)&lt;=Params!$E$3)),"Sporadique","Intermédiaire"))))))</f>
        <v>Sporadique</v>
      </c>
      <c r="E88" s="6">
        <f t="array" ref="E88">XLOOKUP(A88, EQ!A:A, EQ!B:B, "")</f>
        <v>0.5</v>
      </c>
      <c r="F88" s="6">
        <f t="array" ref="F88">XLOOKUP(A88, RED!A:A, RED!B:B, "")</f>
        <v>0.25</v>
      </c>
      <c r="G88" s="3">
        <f t="shared" si="19"/>
        <v>5</v>
      </c>
      <c r="H88" s="3">
        <f t="shared" ref="H88:K88" si="89">XLOOKUP($A88, INDIRECT("'"&amp;H$1&amp;"'!A:A"), INDIRECT("'"&amp;H$1&amp;"'!B:B"), "")</f>
        <v>2</v>
      </c>
      <c r="I88" s="3">
        <f t="shared" si="89"/>
        <v>0.2</v>
      </c>
      <c r="J88" s="3">
        <f t="shared" si="89"/>
        <v>0.25</v>
      </c>
      <c r="K88" s="3">
        <f t="shared" si="89"/>
        <v>0.2</v>
      </c>
    </row>
    <row r="89" ht="112.5" customHeight="1">
      <c r="A89" s="3" t="str">
        <f>EQ!A77</f>
        <v>bb0c30cc3cd79a7b954b6a58338b43ab5c258562b868a12e26fa432eed432da9</v>
      </c>
      <c r="B89" s="3">
        <f t="array" ref="B89">XLOOKUP(A89, Notes!A:A, Notes!B:B, "")</f>
        <v>36.31</v>
      </c>
      <c r="C89" s="3" t="str">
        <f>IFERROR(IMAGE(VLOOKUP(A89,DriveImages!A:C,3,FALSE),4,240,520),"")</f>
        <v/>
      </c>
      <c r="D89" s="3" t="str">
        <f>IF($A89="","",IF(AND(N($G89)&lt;=Params!$D$2,N($H89)&lt;=Params!$E$2),"Peu actif",IF(AND(N($I89)&gt;=Params!$F$4,N($E89)&lt;=Params!$B$2,N($F89)&lt;=Params!$C$2),"Efficace",IF(AND(N($F89)&gt;=Params!$C$4,OR(N($I89)&lt;=Params!$F$3,N($E89)&gt;=Params!$B$4)),"Bloqué",IF(AND(OR(N($G89)&gt;=Params!$D$4,N($H89)&gt;=Params!$E$4),N($I89)&lt;=Params!$F$3),"Persévérant",IF(AND(N($J89)&gt;=Params!$G$4,OR(N($G89)&lt;=Params!$D$3,N($H89)&lt;=Params!$E$3)),"Sporadique","Intermédiaire"))))))</f>
        <v>Peu actif</v>
      </c>
      <c r="E89" s="6">
        <f t="array" ref="E89">XLOOKUP(A89, EQ!A:A, EQ!B:B, "")</f>
        <v>0.6666666667</v>
      </c>
      <c r="F89" s="6">
        <f t="array" ref="F89">XLOOKUP(A89, RED!A:A, RED!B:B, "")</f>
        <v>0.44444444</v>
      </c>
      <c r="G89" s="3">
        <f t="shared" si="19"/>
        <v>4</v>
      </c>
      <c r="H89" s="3">
        <f t="shared" ref="H89:K89" si="90">XLOOKUP($A89, INDIRECT("'"&amp;H$1&amp;"'!A:A"), INDIRECT("'"&amp;H$1&amp;"'!B:B"), "")</f>
        <v>1</v>
      </c>
      <c r="I89" s="3">
        <f t="shared" si="90"/>
        <v>0.25</v>
      </c>
      <c r="J89" s="3">
        <f t="shared" si="90"/>
        <v>0</v>
      </c>
      <c r="K89" s="3">
        <f t="shared" si="90"/>
        <v>0.19565225</v>
      </c>
    </row>
    <row r="90" ht="112.5" customHeight="1">
      <c r="A90" s="3" t="str">
        <f>EQ!A95</f>
        <v>d981675479ab443031cba32f40c3dca9e031547c59346a4c0ea7c624c054d936</v>
      </c>
      <c r="B90" s="3">
        <f t="array" ref="B90">XLOOKUP(A90, Notes!A:A, Notes!B:B, "")</f>
        <v>54.94</v>
      </c>
      <c r="C90" s="3" t="str">
        <f>IFERROR(IMAGE(VLOOKUP(A90,DriveImages!A:C,3,FALSE),4,240,520),"")</f>
        <v/>
      </c>
      <c r="D90" s="3" t="str">
        <f>IF($A90="","",IF(AND(N($G90)&lt;=Params!$D$2,N($H90)&lt;=Params!$E$2),"Peu actif",IF(AND(N($I90)&gt;=Params!$F$4,N($E90)&lt;=Params!$B$2,N($F90)&lt;=Params!$C$2),"Efficace",IF(AND(N($F90)&gt;=Params!$C$4,OR(N($I90)&lt;=Params!$F$3,N($E90)&gt;=Params!$B$4)),"Bloqué",IF(AND(OR(N($G90)&gt;=Params!$D$4,N($H90)&gt;=Params!$E$4),N($I90)&lt;=Params!$F$3),"Persévérant",IF(AND(N($J90)&gt;=Params!$G$4,OR(N($G90)&lt;=Params!$D$3,N($H90)&lt;=Params!$E$3)),"Sporadique","Intermédiaire"))))))</f>
        <v>Bloqué</v>
      </c>
      <c r="E90" s="6">
        <f t="array" ref="E90">XLOOKUP(A90, EQ!A:A, EQ!B:B, "")</f>
        <v>0.75</v>
      </c>
      <c r="F90" s="6">
        <f t="array" ref="F90">XLOOKUP(A90, RED!A:A, RED!B:B, "")</f>
        <v>0.61607143</v>
      </c>
      <c r="G90" s="3">
        <f t="shared" si="19"/>
        <v>14</v>
      </c>
      <c r="H90" s="3">
        <f t="shared" ref="H90:K90" si="91">XLOOKUP($A90, INDIRECT("'"&amp;H$1&amp;"'!A:A"), INDIRECT("'"&amp;H$1&amp;"'!B:B"), "")</f>
        <v>2</v>
      </c>
      <c r="I90" s="3">
        <f t="shared" si="91"/>
        <v>0.2142857143</v>
      </c>
      <c r="J90" s="3">
        <f t="shared" si="91"/>
        <v>0.07692307692</v>
      </c>
      <c r="K90" s="3">
        <f t="shared" si="91"/>
        <v>0.19565214</v>
      </c>
    </row>
    <row r="91" ht="112.5" customHeight="1">
      <c r="A91" s="3" t="str">
        <f>EQ!A52</f>
        <v>78cb6709ef3e4aa9ec5148bce49e841e9a6257b64dff512fdffde18f1e1fcd14</v>
      </c>
      <c r="B91" s="3">
        <f t="array" ref="B91">XLOOKUP(A91, Notes!A:A, Notes!B:B, "")</f>
        <v>50.77</v>
      </c>
      <c r="C91" s="3" t="str">
        <f>IFERROR(IMAGE(VLOOKUP(A91,DriveImages!A:C,3,FALSE),4,240,520),"")</f>
        <v/>
      </c>
      <c r="D91" s="3" t="str">
        <f>IF($A91="","",IF(AND(N($G91)&lt;=Params!$D$2,N($H91)&lt;=Params!$E$2),"Peu actif",IF(AND(N($I91)&gt;=Params!$F$4,N($E91)&lt;=Params!$B$2,N($F91)&lt;=Params!$C$2),"Efficace",IF(AND(N($F91)&gt;=Params!$C$4,OR(N($I91)&lt;=Params!$F$3,N($E91)&gt;=Params!$B$4)),"Bloqué",IF(AND(OR(N($G91)&gt;=Params!$D$4,N($H91)&gt;=Params!$E$4),N($I91)&lt;=Params!$F$3),"Persévérant",IF(AND(N($J91)&gt;=Params!$G$4,OR(N($G91)&lt;=Params!$D$3,N($H91)&lt;=Params!$E$3)),"Sporadique","Intermédiaire"))))))</f>
        <v>Bloqué</v>
      </c>
      <c r="E91" s="6">
        <f t="array" ref="E91">XLOOKUP(A91, EQ!A:A, EQ!B:B, "")</f>
        <v>0.7692307692</v>
      </c>
      <c r="F91" s="6">
        <f t="array" ref="F91">XLOOKUP(A91, RED!A:A, RED!B:B, "")</f>
        <v>0.6993007</v>
      </c>
      <c r="G91" s="3">
        <f t="shared" si="19"/>
        <v>14</v>
      </c>
      <c r="H91" s="3">
        <f t="shared" ref="H91:K91" si="92">XLOOKUP($A91, INDIRECT("'"&amp;H$1&amp;"'!A:A"), INDIRECT("'"&amp;H$1&amp;"'!B:B"), "")</f>
        <v>1</v>
      </c>
      <c r="I91" s="3">
        <f t="shared" si="92"/>
        <v>0.2142857143</v>
      </c>
      <c r="J91" s="3">
        <f t="shared" si="92"/>
        <v>0</v>
      </c>
      <c r="K91" s="3">
        <f t="shared" si="92"/>
        <v>0.189441</v>
      </c>
    </row>
    <row r="92" ht="112.5" customHeight="1">
      <c r="A92" s="3" t="str">
        <f>EQ!A60</f>
        <v>8dd7d47134248a03ffb88fe97e5ab8501d976a5d539ff01c30727b79ede1424f</v>
      </c>
      <c r="B92" s="3">
        <f t="array" ref="B92">XLOOKUP(A92, Notes!A:A, Notes!B:B, "")</f>
        <v>30.75</v>
      </c>
      <c r="C92" s="3" t="str">
        <f>IFERROR(IMAGE(VLOOKUP(A92,DriveImages!A:C,3,FALSE),4,240,520),"")</f>
        <v/>
      </c>
      <c r="D92" s="3" t="str">
        <f>IF($A92="","",IF(AND(N($G92)&lt;=Params!$D$2,N($H92)&lt;=Params!$E$2),"Peu actif",IF(AND(N($I92)&gt;=Params!$F$4,N($E92)&lt;=Params!$B$2,N($F92)&lt;=Params!$C$2),"Efficace",IF(AND(N($F92)&gt;=Params!$C$4,OR(N($I92)&lt;=Params!$F$3,N($E92)&gt;=Params!$B$4)),"Bloqué",IF(AND(OR(N($G92)&gt;=Params!$D$4,N($H92)&gt;=Params!$E$4),N($I92)&lt;=Params!$F$3),"Persévérant",IF(AND(N($J92)&gt;=Params!$G$4,OR(N($G92)&lt;=Params!$D$3,N($H92)&lt;=Params!$E$3)),"Sporadique","Intermédiaire"))))))</f>
        <v>Bloqué</v>
      </c>
      <c r="E92" s="6">
        <f t="array" ref="E92">XLOOKUP(A92, EQ!A:A, EQ!B:B, "")</f>
        <v>0.75</v>
      </c>
      <c r="F92" s="6">
        <f t="array" ref="F92">XLOOKUP(A92, RED!A:A, RED!B:B, "")</f>
        <v>0.64444444</v>
      </c>
      <c r="G92" s="3">
        <f t="shared" si="19"/>
        <v>18</v>
      </c>
      <c r="H92" s="3">
        <f t="shared" ref="H92:K92" si="93">XLOOKUP($A92, INDIRECT("'"&amp;H$1&amp;"'!A:A"), INDIRECT("'"&amp;H$1&amp;"'!B:B"), "")</f>
        <v>3</v>
      </c>
      <c r="I92" s="3">
        <f t="shared" si="93"/>
        <v>0.2222222222</v>
      </c>
      <c r="J92" s="3">
        <f t="shared" si="93"/>
        <v>0.1176470588</v>
      </c>
      <c r="K92" s="3">
        <f t="shared" si="93"/>
        <v>0.18357489</v>
      </c>
    </row>
    <row r="93" ht="112.5" customHeight="1">
      <c r="A93" s="3" t="str">
        <f>EQ!A83</f>
        <v>c547e37e3c5d2add9a3cb5fdeecfbc779e0ee9d6a7dbb489c799cc94e7b9abd2</v>
      </c>
      <c r="B93" s="3">
        <f t="array" ref="B93">XLOOKUP(A93, Notes!A:A, Notes!B:B, "")</f>
        <v>75.94</v>
      </c>
      <c r="C93" s="3" t="str">
        <f>IFERROR(IMAGE(VLOOKUP(A93,DriveImages!A:C,3,FALSE),4,240,520),"")</f>
        <v/>
      </c>
      <c r="D93" s="3" t="str">
        <f>IF($A93="","",IF(AND(N($G93)&lt;=Params!$D$2,N($H93)&lt;=Params!$E$2),"Peu actif",IF(AND(N($I93)&gt;=Params!$F$4,N($E93)&lt;=Params!$B$2,N($F93)&lt;=Params!$C$2),"Efficace",IF(AND(N($F93)&gt;=Params!$C$4,OR(N($I93)&lt;=Params!$F$3,N($E93)&gt;=Params!$B$4)),"Bloqué",IF(AND(OR(N($G93)&gt;=Params!$D$4,N($H93)&gt;=Params!$E$4),N($I93)&lt;=Params!$F$3),"Persévérant",IF(AND(N($J93)&gt;=Params!$G$4,OR(N($G93)&lt;=Params!$D$3,N($H93)&lt;=Params!$E$3)),"Sporadique","Intermédiaire"))))))</f>
        <v>Intermédiaire</v>
      </c>
      <c r="E93" s="6">
        <f t="array" ref="E93">XLOOKUP(A93, EQ!A:A, EQ!B:B, "")</f>
        <v>0.6666666667</v>
      </c>
      <c r="F93" s="6">
        <f t="array" ref="F93">XLOOKUP(A93, RED!A:A, RED!B:B, "")</f>
        <v>0.5037037</v>
      </c>
      <c r="G93" s="3">
        <f t="shared" si="19"/>
        <v>10</v>
      </c>
      <c r="H93" s="3">
        <f t="shared" ref="H93:K93" si="94">XLOOKUP($A93, INDIRECT("'"&amp;H$1&amp;"'!A:A"), INDIRECT("'"&amp;H$1&amp;"'!B:B"), "")</f>
        <v>1</v>
      </c>
      <c r="I93" s="3">
        <f t="shared" si="94"/>
        <v>0.2</v>
      </c>
      <c r="J93" s="3">
        <f t="shared" si="94"/>
        <v>0</v>
      </c>
      <c r="K93" s="3">
        <f t="shared" si="94"/>
        <v>0.1714286</v>
      </c>
    </row>
    <row r="94" ht="112.5" customHeight="1">
      <c r="A94" s="3" t="str">
        <f>EQ!A47</f>
        <v>7026047c5e9f18234ed92d0bc1518a2a4944fc2a9a0bb90628e20b2d93e7f9ae</v>
      </c>
      <c r="B94" s="3">
        <f t="array" ref="B94">XLOOKUP(A94, Notes!A:A, Notes!B:B, "")</f>
        <v>63.01</v>
      </c>
      <c r="C94" s="3" t="str">
        <f>IFERROR(IMAGE(VLOOKUP(A94,DriveImages!A:C,3,FALSE),4,240,520),"")</f>
        <v/>
      </c>
      <c r="D94" s="3" t="str">
        <f>IF($A94="","",IF(AND(N($G94)&lt;=Params!$D$2,N($H94)&lt;=Params!$E$2),"Peu actif",IF(AND(N($I94)&gt;=Params!$F$4,N($E94)&lt;=Params!$B$2,N($F94)&lt;=Params!$C$2),"Efficace",IF(AND(N($F94)&gt;=Params!$C$4,OR(N($I94)&lt;=Params!$F$3,N($E94)&gt;=Params!$B$4)),"Bloqué",IF(AND(OR(N($G94)&gt;=Params!$D$4,N($H94)&gt;=Params!$E$4),N($I94)&lt;=Params!$F$3),"Persévérant",IF(AND(N($J94)&gt;=Params!$G$4,OR(N($G94)&lt;=Params!$D$3,N($H94)&lt;=Params!$E$3)),"Sporadique","Intermédiaire"))))))</f>
        <v>Intermédiaire</v>
      </c>
      <c r="E94" s="6">
        <f t="array" ref="E94">XLOOKUP(A94, EQ!A:A, EQ!B:B, "")</f>
        <v>0.5714285714</v>
      </c>
      <c r="F94" s="6">
        <f t="array" ref="F94">XLOOKUP(A94, RED!A:A, RED!B:B, "")</f>
        <v>0.45714286</v>
      </c>
      <c r="G94" s="3">
        <f t="shared" si="19"/>
        <v>9</v>
      </c>
      <c r="H94" s="3">
        <f t="shared" ref="H94:K94" si="95">XLOOKUP($A94, INDIRECT("'"&amp;H$1&amp;"'!A:A"), INDIRECT("'"&amp;H$1&amp;"'!B:B"), "")</f>
        <v>2</v>
      </c>
      <c r="I94" s="3">
        <f t="shared" si="95"/>
        <v>0.4444444444</v>
      </c>
      <c r="J94" s="3">
        <f t="shared" si="95"/>
        <v>0.125</v>
      </c>
      <c r="K94" s="3">
        <f t="shared" si="95"/>
        <v>0.15476184</v>
      </c>
    </row>
    <row r="95" ht="112.5" customHeight="1">
      <c r="A95" s="3" t="str">
        <f>EQ!A33</f>
        <v>519b74a02a32927ee8af772a01038d36736eb2aaeb604f8a15719710d72ccc04</v>
      </c>
      <c r="B95" s="3">
        <f t="array" ref="B95">XLOOKUP(A95, Notes!A:A, Notes!B:B, "")</f>
        <v>68.97</v>
      </c>
      <c r="C95" s="3" t="str">
        <f>IFERROR(IMAGE(VLOOKUP(A95,DriveImages!A:C,3,FALSE),4,240,520),"")</f>
        <v/>
      </c>
      <c r="D95" s="3" t="str">
        <f>IF($A95="","",IF(AND(N($G95)&lt;=Params!$D$2,N($H95)&lt;=Params!$E$2),"Peu actif",IF(AND(N($I95)&gt;=Params!$F$4,N($E95)&lt;=Params!$B$2,N($F95)&lt;=Params!$C$2),"Efficace",IF(AND(N($F95)&gt;=Params!$C$4,OR(N($I95)&lt;=Params!$F$3,N($E95)&gt;=Params!$B$4)),"Bloqué",IF(AND(OR(N($G95)&gt;=Params!$D$4,N($H95)&gt;=Params!$E$4),N($I95)&lt;=Params!$F$3),"Persévérant",IF(AND(N($J95)&gt;=Params!$G$4,OR(N($G95)&lt;=Params!$D$3,N($H95)&lt;=Params!$E$3)),"Sporadique","Intermédiaire"))))))</f>
        <v>Bloqué</v>
      </c>
      <c r="E95" s="6">
        <f t="array" ref="E95">XLOOKUP(A95, EQ!A:A, EQ!B:B, "")</f>
        <v>0.8235294118</v>
      </c>
      <c r="F95" s="6">
        <f t="array" ref="F95">XLOOKUP(A95, RED!A:A, RED!B:B, "")</f>
        <v>0.72299465</v>
      </c>
      <c r="G95" s="3">
        <f t="shared" si="19"/>
        <v>20</v>
      </c>
      <c r="H95" s="3">
        <f t="shared" ref="H95:K95" si="96">XLOOKUP($A95, INDIRECT("'"&amp;H$1&amp;"'!A:A"), INDIRECT("'"&amp;H$1&amp;"'!B:B"), "")</f>
        <v>1</v>
      </c>
      <c r="I95" s="3">
        <f t="shared" si="96"/>
        <v>0.15</v>
      </c>
      <c r="J95" s="3">
        <f t="shared" si="96"/>
        <v>0</v>
      </c>
      <c r="K95" s="3">
        <f t="shared" si="96"/>
        <v>0.14347825</v>
      </c>
    </row>
    <row r="96" ht="112.5" customHeight="1">
      <c r="A96" s="3" t="str">
        <f>EQ!A10</f>
        <v>13b34a353ac9ea6554f0bfc998b55f394ed800dfc03b32dc37d311d2551a5749</v>
      </c>
      <c r="B96" s="3">
        <f t="array" ref="B96">XLOOKUP(A96, Notes!A:A, Notes!B:B, "")</f>
        <v>70.71</v>
      </c>
      <c r="C96" s="3" t="str">
        <f>IFERROR(IMAGE(VLOOKUP(A96,DriveImages!A:C,3,FALSE),4,240,520),"")</f>
        <v/>
      </c>
      <c r="D96" s="3" t="str">
        <f>IF($A96="","",IF(AND(N($G96)&lt;=Params!$D$2,N($H96)&lt;=Params!$E$2),"Peu actif",IF(AND(N($I96)&gt;=Params!$F$4,N($E96)&lt;=Params!$B$2,N($F96)&lt;=Params!$C$2),"Efficace",IF(AND(N($F96)&gt;=Params!$C$4,OR(N($I96)&lt;=Params!$F$3,N($E96)&gt;=Params!$B$4)),"Bloqué",IF(AND(OR(N($G96)&gt;=Params!$D$4,N($H96)&gt;=Params!$E$4),N($I96)&lt;=Params!$F$3),"Persévérant",IF(AND(N($J96)&gt;=Params!$G$4,OR(N($G96)&lt;=Params!$D$3,N($H96)&lt;=Params!$E$3)),"Sporadique","Intermédiaire"))))))</f>
        <v>Bloqué</v>
      </c>
      <c r="E96" s="6">
        <f t="array" ref="E96">XLOOKUP(A96, EQ!A:A, EQ!B:B, "")</f>
        <v>0.7222222222</v>
      </c>
      <c r="F96" s="6">
        <f t="array" ref="F96">XLOOKUP(A96, RED!A:A, RED!B:B, "")</f>
        <v>0.61871025</v>
      </c>
      <c r="G96" s="3">
        <f t="shared" si="19"/>
        <v>59</v>
      </c>
      <c r="H96" s="3">
        <f t="shared" ref="H96:K96" si="97">XLOOKUP($A96, INDIRECT("'"&amp;H$1&amp;"'!A:A"), INDIRECT("'"&amp;H$1&amp;"'!B:B"), "")</f>
        <v>2</v>
      </c>
      <c r="I96" s="3">
        <f t="shared" si="97"/>
        <v>0.1694915254</v>
      </c>
      <c r="J96" s="3">
        <f t="shared" si="97"/>
        <v>0.01724137931</v>
      </c>
      <c r="K96" s="3">
        <f t="shared" si="97"/>
        <v>0.13947741</v>
      </c>
    </row>
    <row r="97" ht="112.5" customHeight="1">
      <c r="A97" s="3" t="str">
        <f>EQ!A56</f>
        <v>86d73054aa9c80dbfbfce326489454f67087052ce0720f75ec87b849d851ce2b</v>
      </c>
      <c r="B97" s="3">
        <f t="array" ref="B97">XLOOKUP(A97, Notes!A:A, Notes!B:B, "")</f>
        <v>47.78</v>
      </c>
      <c r="C97" s="3" t="str">
        <f>IFERROR(IMAGE(VLOOKUP(A97,DriveImages!A:C,3,FALSE),4,240,520),"")</f>
        <v/>
      </c>
      <c r="D97" s="3" t="str">
        <f>IF($A97="","",IF(AND(N($G97)&lt;=Params!$D$2,N($H97)&lt;=Params!$E$2),"Peu actif",IF(AND(N($I97)&gt;=Params!$F$4,N($E97)&lt;=Params!$B$2,N($F97)&lt;=Params!$C$2),"Efficace",IF(AND(N($F97)&gt;=Params!$C$4,OR(N($I97)&lt;=Params!$F$3,N($E97)&gt;=Params!$B$4)),"Bloqué",IF(AND(OR(N($G97)&gt;=Params!$D$4,N($H97)&gt;=Params!$E$4),N($I97)&lt;=Params!$F$3),"Persévérant",IF(AND(N($J97)&gt;=Params!$G$4,OR(N($G97)&lt;=Params!$D$3,N($H97)&lt;=Params!$E$3)),"Sporadique","Intermédiaire"))))))</f>
        <v>Sporadique</v>
      </c>
      <c r="E97" s="6">
        <f t="array" ref="E97">XLOOKUP(A97, EQ!A:A, EQ!B:B, "")</f>
        <v>0.5714285714</v>
      </c>
      <c r="F97" s="6">
        <f t="array" ref="F97">XLOOKUP(A97, RED!A:A, RED!B:B, "")</f>
        <v>0.45714286</v>
      </c>
      <c r="G97" s="3">
        <f t="shared" si="19"/>
        <v>8</v>
      </c>
      <c r="H97" s="3">
        <f t="shared" ref="H97:K97" si="98">XLOOKUP($A97, INDIRECT("'"&amp;H$1&amp;"'!A:A"), INDIRECT("'"&amp;H$1&amp;"'!B:B"), "")</f>
        <v>2</v>
      </c>
      <c r="I97" s="3">
        <f t="shared" si="98"/>
        <v>0.25</v>
      </c>
      <c r="J97" s="3">
        <f t="shared" si="98"/>
        <v>0.1428571429</v>
      </c>
      <c r="K97" s="3">
        <f t="shared" si="98"/>
        <v>0.11607138</v>
      </c>
    </row>
    <row r="98" ht="112.5" customHeight="1">
      <c r="A98" s="3" t="str">
        <f>EQ!A46</f>
        <v>7018f9f84b61c5801779302689a34fef5b2e9d95f52479d9ef486efda2e55c21</v>
      </c>
      <c r="B98" s="3">
        <f t="array" ref="B98">XLOOKUP(A98, Notes!A:A, Notes!B:B, "")</f>
        <v>59</v>
      </c>
      <c r="C98" s="3" t="str">
        <f>IFERROR(IMAGE(VLOOKUP(A98,DriveImages!A:C,3,FALSE),4,240,520),"")</f>
        <v/>
      </c>
      <c r="D98" s="3" t="str">
        <f>IF($A98="","",IF(AND(N($G98)&lt;=Params!$D$2,N($H98)&lt;=Params!$E$2),"Peu actif",IF(AND(N($I98)&gt;=Params!$F$4,N($E98)&lt;=Params!$B$2,N($F98)&lt;=Params!$C$2),"Efficace",IF(AND(N($F98)&gt;=Params!$C$4,OR(N($I98)&lt;=Params!$F$3,N($E98)&gt;=Params!$B$4)),"Bloqué",IF(AND(OR(N($G98)&gt;=Params!$D$4,N($H98)&gt;=Params!$E$4),N($I98)&lt;=Params!$F$3),"Persévérant",IF(AND(N($J98)&gt;=Params!$G$4,OR(N($G98)&lt;=Params!$D$3,N($H98)&lt;=Params!$E$3)),"Sporadique","Intermédiaire"))))))</f>
        <v>Bloqué</v>
      </c>
      <c r="E98" s="6">
        <f t="array" ref="E98">XLOOKUP(A98, EQ!A:A, EQ!B:B, "")</f>
        <v>0.875</v>
      </c>
      <c r="F98" s="6">
        <f t="array" ref="F98">XLOOKUP(A98, RED!A:A, RED!B:B, "")</f>
        <v>0.765625</v>
      </c>
      <c r="G98" s="3">
        <f t="shared" si="19"/>
        <v>9</v>
      </c>
      <c r="H98" s="3">
        <f t="shared" ref="H98:K98" si="99">XLOOKUP($A98, INDIRECT("'"&amp;H$1&amp;"'!A:A"), INDIRECT("'"&amp;H$1&amp;"'!B:B"), "")</f>
        <v>1</v>
      </c>
      <c r="I98" s="3">
        <f t="shared" si="99"/>
        <v>0.1111111111</v>
      </c>
      <c r="J98" s="3">
        <f t="shared" si="99"/>
        <v>0</v>
      </c>
      <c r="K98" s="3">
        <f t="shared" si="99"/>
        <v>0.11111111</v>
      </c>
    </row>
    <row r="99" ht="112.5" customHeight="1">
      <c r="A99" s="3" t="str">
        <f>EQ!A111</f>
        <v>fe48d6db483ac4bd61b017d826272e803a5ba40fca9dcc14ce181a1331e1fa18</v>
      </c>
      <c r="B99" s="3">
        <f t="array" ref="B99">XLOOKUP(A99, Notes!A:A, Notes!B:B, "")</f>
        <v>35.25</v>
      </c>
      <c r="C99" s="3" t="str">
        <f>IFERROR(IMAGE(VLOOKUP(A99,DriveImages!A:C,3,FALSE),4,240,520),"")</f>
        <v/>
      </c>
      <c r="D99" s="3" t="str">
        <f>IF($A99="","",IF(AND(N($G99)&lt;=Params!$D$2,N($H99)&lt;=Params!$E$2),"Peu actif",IF(AND(N($I99)&gt;=Params!$F$4,N($E99)&lt;=Params!$B$2,N($F99)&lt;=Params!$C$2),"Efficace",IF(AND(N($F99)&gt;=Params!$C$4,OR(N($I99)&lt;=Params!$F$3,N($E99)&gt;=Params!$B$4)),"Bloqué",IF(AND(OR(N($G99)&gt;=Params!$D$4,N($H99)&gt;=Params!$E$4),N($I99)&lt;=Params!$F$3),"Persévérant",IF(AND(N($J99)&gt;=Params!$G$4,OR(N($G99)&lt;=Params!$D$3,N($H99)&lt;=Params!$E$3)),"Sporadique","Intermédiaire"))))))</f>
        <v>Bloqué</v>
      </c>
      <c r="E99" s="6">
        <f t="array" ref="E99">XLOOKUP(A99, EQ!A:A, EQ!B:B, "")</f>
        <v>0.8333333333</v>
      </c>
      <c r="F99" s="6">
        <f t="array" ref="F99">XLOOKUP(A99, RED!A:A, RED!B:B, "")</f>
        <v>0.69444444</v>
      </c>
      <c r="G99" s="3">
        <f t="shared" si="19"/>
        <v>7</v>
      </c>
      <c r="H99" s="3">
        <f t="shared" ref="H99:K99" si="100">XLOOKUP($A99, INDIRECT("'"&amp;H$1&amp;"'!A:A"), INDIRECT("'"&amp;H$1&amp;"'!B:B"), "")</f>
        <v>1</v>
      </c>
      <c r="I99" s="3">
        <f t="shared" si="100"/>
        <v>0.1428571429</v>
      </c>
      <c r="J99" s="3">
        <f t="shared" si="100"/>
        <v>0</v>
      </c>
      <c r="K99" s="3">
        <f t="shared" si="100"/>
        <v>0.10204086</v>
      </c>
    </row>
    <row r="100" ht="112.5" customHeight="1">
      <c r="A100" s="3" t="str">
        <f>EQ!A79</f>
        <v>bd7739509fa70c858197ea24926c2c696b797f60240eac8fe389b1d67ce663be</v>
      </c>
      <c r="B100" s="3">
        <f t="array" ref="B100">XLOOKUP(A100, Notes!A:A, Notes!B:B, "")</f>
        <v>61.66</v>
      </c>
      <c r="C100" s="3" t="str">
        <f>IFERROR(IMAGE(VLOOKUP(A100,DriveImages!A:C,3,FALSE),4,240,520),"")</f>
        <v/>
      </c>
      <c r="D100" s="3" t="str">
        <f>IF($A100="","",IF(AND(N($G100)&lt;=Params!$D$2,N($H100)&lt;=Params!$E$2),"Peu actif",IF(AND(N($I100)&gt;=Params!$F$4,N($E100)&lt;=Params!$B$2,N($F100)&lt;=Params!$C$2),"Efficace",IF(AND(N($F100)&gt;=Params!$C$4,OR(N($I100)&lt;=Params!$F$3,N($E100)&gt;=Params!$B$4)),"Bloqué",IF(AND(OR(N($G100)&gt;=Params!$D$4,N($H100)&gt;=Params!$E$4),N($I100)&lt;=Params!$F$3),"Persévérant",IF(AND(N($J100)&gt;=Params!$G$4,OR(N($G100)&lt;=Params!$D$3,N($H100)&lt;=Params!$E$3)),"Sporadique","Intermédiaire"))))))</f>
        <v>Bloqué</v>
      </c>
      <c r="E100" s="6">
        <f t="array" ref="E100">XLOOKUP(A100, EQ!A:A, EQ!B:B, "")</f>
        <v>0.8</v>
      </c>
      <c r="F100" s="6">
        <f t="array" ref="F100">XLOOKUP(A100, RED!A:A, RED!B:B, "")</f>
        <v>0.53333333</v>
      </c>
      <c r="G100" s="3">
        <f t="shared" si="19"/>
        <v>7</v>
      </c>
      <c r="H100" s="3">
        <f t="shared" ref="H100:K100" si="101">XLOOKUP($A100, INDIRECT("'"&amp;H$1&amp;"'!A:A"), INDIRECT("'"&amp;H$1&amp;"'!B:B"), "")</f>
        <v>1</v>
      </c>
      <c r="I100" s="3">
        <f t="shared" si="101"/>
        <v>0.1428571429</v>
      </c>
      <c r="J100" s="3">
        <f t="shared" si="101"/>
        <v>0</v>
      </c>
      <c r="K100" s="3">
        <f t="shared" si="101"/>
        <v>0.05142857</v>
      </c>
    </row>
    <row r="101" ht="112.5" customHeight="1">
      <c r="A101" s="3" t="str">
        <f>EQ!A96</f>
        <v>db2e162c7c1734ed5a58abc1706b9efbbdadbd2ba5f77bea6911a1aabd5e0831</v>
      </c>
      <c r="B101" s="3">
        <f t="array" ref="B101">XLOOKUP(A101, Notes!A:A, Notes!B:B, "")</f>
        <v>66</v>
      </c>
      <c r="C101" s="3" t="str">
        <f>IFERROR(IMAGE(VLOOKUP(A101,DriveImages!A:C,3,FALSE),4,240,520),"")</f>
        <v/>
      </c>
      <c r="D101" s="3" t="str">
        <f>IF($A101="","",IF(AND(N($G101)&lt;=Params!$D$2,N($H101)&lt;=Params!$E$2),"Peu actif",IF(AND(N($I101)&gt;=Params!$F$4,N($E101)&lt;=Params!$B$2,N($F101)&lt;=Params!$C$2),"Efficace",IF(AND(N($F101)&gt;=Params!$C$4,OR(N($I101)&lt;=Params!$F$3,N($E101)&gt;=Params!$B$4)),"Bloqué",IF(AND(OR(N($G101)&gt;=Params!$D$4,N($H101)&gt;=Params!$E$4),N($I101)&lt;=Params!$F$3),"Persévérant",IF(AND(N($J101)&gt;=Params!$G$4,OR(N($G101)&lt;=Params!$D$3,N($H101)&lt;=Params!$E$3)),"Sporadique","Intermédiaire"))))))</f>
        <v>Bloqué</v>
      </c>
      <c r="E101" s="6">
        <f t="array" ref="E101">XLOOKUP(A101, EQ!A:A, EQ!B:B, "")</f>
        <v>0.8666666667</v>
      </c>
      <c r="F101" s="6">
        <f t="array" ref="F101">XLOOKUP(A101, RED!A:A, RED!B:B, "")</f>
        <v>0.78175439</v>
      </c>
      <c r="G101" s="3">
        <f t="shared" si="19"/>
        <v>31</v>
      </c>
      <c r="H101" s="3">
        <f t="shared" ref="H101:K101" si="102">XLOOKUP($A101, INDIRECT("'"&amp;H$1&amp;"'!A:A"), INDIRECT("'"&amp;H$1&amp;"'!B:B"), "")</f>
        <v>4</v>
      </c>
      <c r="I101" s="3">
        <f t="shared" si="102"/>
        <v>0.06451612903</v>
      </c>
      <c r="J101" s="3">
        <f t="shared" si="102"/>
        <v>0.1</v>
      </c>
      <c r="K101" s="3">
        <f t="shared" si="102"/>
        <v>0.04488077</v>
      </c>
    </row>
    <row r="102" ht="112.5" customHeight="1">
      <c r="A102" s="3" t="str">
        <f>EQ!A73</f>
        <v>aeff5cdc8c731a2b16beb6f260aeeca455401bc2ddb229aa87a464475f95b1ca</v>
      </c>
      <c r="B102" s="3">
        <f t="array" ref="B102">XLOOKUP(A102, Notes!A:A, Notes!B:B, "")</f>
        <v>54.53</v>
      </c>
      <c r="C102" s="3" t="str">
        <f>IFERROR(IMAGE(VLOOKUP(A102,DriveImages!A:C,3,FALSE),4,240,520),"")</f>
        <v/>
      </c>
      <c r="D102" s="3" t="str">
        <f>IF($A102="","",IF(AND(N($G102)&lt;=Params!$D$2,N($H102)&lt;=Params!$E$2),"Peu actif",IF(AND(N($I102)&gt;=Params!$F$4,N($E102)&lt;=Params!$B$2,N($F102)&lt;=Params!$C$2),"Efficace",IF(AND(N($F102)&gt;=Params!$C$4,OR(N($I102)&lt;=Params!$F$3,N($E102)&gt;=Params!$B$4)),"Bloqué",IF(AND(OR(N($G102)&gt;=Params!$D$4,N($H102)&gt;=Params!$E$4),N($I102)&lt;=Params!$F$3),"Persévérant",IF(AND(N($J102)&gt;=Params!$G$4,OR(N($G102)&lt;=Params!$D$3,N($H102)&lt;=Params!$E$3)),"Sporadique","Intermédiaire"))))))</f>
        <v>Bloqué</v>
      </c>
      <c r="E102" s="6">
        <f t="array" ref="E102">XLOOKUP(A102, EQ!A:A, EQ!B:B, "")</f>
        <v>1</v>
      </c>
      <c r="F102" s="6">
        <f t="array" ref="F102">XLOOKUP(A102, RED!A:A, RED!B:B, "")</f>
        <v>0.75</v>
      </c>
      <c r="G102" s="3">
        <f t="shared" si="19"/>
        <v>4</v>
      </c>
      <c r="H102" s="3">
        <f t="shared" ref="H102:K102" si="103">XLOOKUP($A102, INDIRECT("'"&amp;H$1&amp;"'!A:A"), INDIRECT("'"&amp;H$1&amp;"'!B:B"), "")</f>
        <v>2</v>
      </c>
      <c r="I102" s="3">
        <f t="shared" si="103"/>
        <v>0</v>
      </c>
      <c r="J102" s="3">
        <f t="shared" si="103"/>
        <v>0.3333333333</v>
      </c>
      <c r="K102" s="3">
        <f t="shared" si="103"/>
        <v>0</v>
      </c>
    </row>
    <row r="103" ht="112.5" customHeight="1">
      <c r="A103" s="3" t="str">
        <f>EQ!A101</f>
        <v>eefcecf5c7183df8d369a35df238dd9fd990564264dcadc7bafacbafbef888ac</v>
      </c>
      <c r="B103" s="3">
        <f t="array" ref="B103">XLOOKUP(A103, Notes!A:A, Notes!B:B, "")</f>
        <v>39.81</v>
      </c>
      <c r="C103" s="3" t="str">
        <f>IFERROR(IMAGE(VLOOKUP(A103,DriveImages!A:C,3,FALSE),4,240,520),"")</f>
        <v/>
      </c>
      <c r="D103" s="3" t="str">
        <f>IF($A103="","",IF(AND(N($G103)&lt;=Params!$D$2,N($H103)&lt;=Params!$E$2),"Peu actif",IF(AND(N($I103)&gt;=Params!$F$4,N($E103)&lt;=Params!$B$2,N($F103)&lt;=Params!$C$2),"Efficace",IF(AND(N($F103)&gt;=Params!$C$4,OR(N($I103)&lt;=Params!$F$3,N($E103)&gt;=Params!$B$4)),"Bloqué",IF(AND(OR(N($G103)&gt;=Params!$D$4,N($H103)&gt;=Params!$E$4),N($I103)&lt;=Params!$F$3),"Persévérant",IF(AND(N($J103)&gt;=Params!$G$4,OR(N($G103)&lt;=Params!$D$3,N($H103)&lt;=Params!$E$3)),"Sporadique","Intermédiaire"))))))</f>
        <v>Bloqué</v>
      </c>
      <c r="E103" s="6">
        <f t="array" ref="E103">XLOOKUP(A103, EQ!A:A, EQ!B:B, "")</f>
        <v>1</v>
      </c>
      <c r="F103" s="6">
        <f t="array" ref="F103">XLOOKUP(A103, RED!A:A, RED!B:B, "")</f>
        <v>0.83333333</v>
      </c>
      <c r="G103" s="3">
        <f t="shared" si="19"/>
        <v>6</v>
      </c>
      <c r="H103" s="3">
        <f t="shared" ref="H103:K103" si="104">XLOOKUP($A103, INDIRECT("'"&amp;H$1&amp;"'!A:A"), INDIRECT("'"&amp;H$1&amp;"'!B:B"), "")</f>
        <v>1</v>
      </c>
      <c r="I103" s="3">
        <f t="shared" si="104"/>
        <v>0</v>
      </c>
      <c r="J103" s="3">
        <f t="shared" si="104"/>
        <v>0</v>
      </c>
      <c r="K103" s="3">
        <f t="shared" si="104"/>
        <v>0</v>
      </c>
    </row>
    <row r="104" ht="112.5" customHeight="1">
      <c r="A104" s="3" t="str">
        <f>EQ!A62</f>
        <v>9323ada035535298a0de65f40698a45122446c861947978f1be17123ecf09a53</v>
      </c>
      <c r="B104" s="3">
        <f t="array" ref="B104">XLOOKUP(A104, Notes!A:A, Notes!B:B, "")</f>
        <v>61.57</v>
      </c>
      <c r="C104" s="3" t="str">
        <f>IFERROR(IMAGE(VLOOKUP(A104,DriveImages!A:C,3,FALSE),4,240,520),"")</f>
        <v/>
      </c>
      <c r="D104" s="3" t="str">
        <f>IF($A104="","",IF(AND(N($G104)&lt;=Params!$D$2,N($H104)&lt;=Params!$E$2),"Peu actif",IF(AND(N($I104)&gt;=Params!$F$4,N($E104)&lt;=Params!$B$2,N($F104)&lt;=Params!$C$2),"Efficace",IF(AND(N($F104)&gt;=Params!$C$4,OR(N($I104)&lt;=Params!$F$3,N($E104)&gt;=Params!$B$4)),"Bloqué",IF(AND(OR(N($G104)&gt;=Params!$D$4,N($H104)&gt;=Params!$E$4),N($I104)&lt;=Params!$F$3),"Persévérant",IF(AND(N($J104)&gt;=Params!$G$4,OR(N($G104)&lt;=Params!$D$3,N($H104)&lt;=Params!$E$3)),"Sporadique","Intermédiaire"))))))</f>
        <v>Bloqué</v>
      </c>
      <c r="E104" s="6">
        <f t="array" ref="E104">XLOOKUP(A104, EQ!A:A, EQ!B:B, "")</f>
        <v>1</v>
      </c>
      <c r="F104" s="6">
        <f t="array" ref="F104">XLOOKUP(A104, RED!A:A, RED!B:B, "")</f>
        <v>0.83333333</v>
      </c>
      <c r="G104" s="3">
        <f t="shared" si="19"/>
        <v>6</v>
      </c>
      <c r="H104" s="3">
        <f t="shared" ref="H104:K104" si="105">XLOOKUP($A104, INDIRECT("'"&amp;H$1&amp;"'!A:A"), INDIRECT("'"&amp;H$1&amp;"'!B:B"), "")</f>
        <v>2</v>
      </c>
      <c r="I104" s="3">
        <f t="shared" si="105"/>
        <v>0</v>
      </c>
      <c r="J104" s="3">
        <f t="shared" si="105"/>
        <v>0.2</v>
      </c>
      <c r="K104" s="3">
        <f t="shared" si="105"/>
        <v>0</v>
      </c>
    </row>
    <row r="105" ht="112.5" customHeight="1">
      <c r="A105" s="3" t="str">
        <f>EQ!A69</f>
        <v>a1a57315af0421443e73ff39f4cc4afaabfb05e5c435fafd3504fd91ab223453</v>
      </c>
      <c r="B105" s="3">
        <f t="array" ref="B105">XLOOKUP(A105, Notes!A:A, Notes!B:B, "")</f>
        <v>46.5</v>
      </c>
      <c r="C105" s="3" t="str">
        <f>IFERROR(IMAGE(VLOOKUP(A105,DriveImages!A:C,3,FALSE),4,240,520),"")</f>
        <v/>
      </c>
      <c r="D105" s="3" t="str">
        <f>IF($A105="","",IF(AND(N($G105)&lt;=Params!$D$2,N($H105)&lt;=Params!$E$2),"Peu actif",IF(AND(N($I105)&gt;=Params!$F$4,N($E105)&lt;=Params!$B$2,N($F105)&lt;=Params!$C$2),"Efficace",IF(AND(N($F105)&gt;=Params!$C$4,OR(N($I105)&lt;=Params!$F$3,N($E105)&gt;=Params!$B$4)),"Bloqué",IF(AND(OR(N($G105)&gt;=Params!$D$4,N($H105)&gt;=Params!$E$4),N($I105)&lt;=Params!$F$3),"Persévérant",IF(AND(N($J105)&gt;=Params!$G$4,OR(N($G105)&lt;=Params!$D$3,N($H105)&lt;=Params!$E$3)),"Sporadique","Intermédiaire"))))))</f>
        <v>Bloqué</v>
      </c>
      <c r="E105" s="6">
        <f t="array" ref="E105">XLOOKUP(A105, EQ!A:A, EQ!B:B, "")</f>
        <v>1</v>
      </c>
      <c r="F105" s="6">
        <f t="array" ref="F105">XLOOKUP(A105, RED!A:A, RED!B:B, "")</f>
        <v>0.85714286</v>
      </c>
      <c r="G105" s="3">
        <f t="shared" si="19"/>
        <v>7</v>
      </c>
      <c r="H105" s="3">
        <f t="shared" ref="H105:K105" si="106">XLOOKUP($A105, INDIRECT("'"&amp;H$1&amp;"'!A:A"), INDIRECT("'"&amp;H$1&amp;"'!B:B"), "")</f>
        <v>1</v>
      </c>
      <c r="I105" s="3">
        <f t="shared" si="106"/>
        <v>0</v>
      </c>
      <c r="J105" s="3">
        <f t="shared" si="106"/>
        <v>0</v>
      </c>
      <c r="K105" s="3">
        <f t="shared" si="106"/>
        <v>0</v>
      </c>
    </row>
    <row r="106" ht="112.5" customHeight="1">
      <c r="A106" s="3" t="str">
        <f>EQ!A105</f>
        <v>f837bce807410ac6f8b52fcee81a1ffaa2d7f77755861f2e6f2b482bff0f6fe9</v>
      </c>
      <c r="B106" s="3">
        <f t="array" ref="B106">XLOOKUP(A106, Notes!A:A, Notes!B:B, "")</f>
        <v>80.65</v>
      </c>
      <c r="C106" s="3" t="str">
        <f>IFERROR(IMAGE(VLOOKUP(A106,DriveImages!A:C,3,FALSE),4,240,520),"")</f>
        <v/>
      </c>
      <c r="D106" s="3" t="str">
        <f>IF($A106="","",IF(AND(N($G106)&lt;=Params!$D$2,N($H106)&lt;=Params!$E$2),"Peu actif",IF(AND(N($I106)&gt;=Params!$F$4,N($E106)&lt;=Params!$B$2,N($F106)&lt;=Params!$C$2),"Efficace",IF(AND(N($F106)&gt;=Params!$C$4,OR(N($I106)&lt;=Params!$F$3,N($E106)&gt;=Params!$B$4)),"Bloqué",IF(AND(OR(N($G106)&gt;=Params!$D$4,N($H106)&gt;=Params!$E$4),N($I106)&lt;=Params!$F$3),"Persévérant",IF(AND(N($J106)&gt;=Params!$G$4,OR(N($G106)&lt;=Params!$D$3,N($H106)&lt;=Params!$E$3)),"Sporadique","Intermédiaire"))))))</f>
        <v>Bloqué</v>
      </c>
      <c r="E106" s="6">
        <f t="array" ref="E106">XLOOKUP(A106, EQ!A:A, EQ!B:B, "")</f>
        <v>1</v>
      </c>
      <c r="F106" s="6">
        <f t="array" ref="F106">XLOOKUP(A106, RED!A:A, RED!B:B, "")</f>
        <v>0.86675824</v>
      </c>
      <c r="G106" s="3">
        <f t="shared" si="19"/>
        <v>15</v>
      </c>
      <c r="H106" s="3">
        <f t="shared" ref="H106:K106" si="107">XLOOKUP($A106, INDIRECT("'"&amp;H$1&amp;"'!A:A"), INDIRECT("'"&amp;H$1&amp;"'!B:B"), "")</f>
        <v>4</v>
      </c>
      <c r="I106" s="3">
        <f t="shared" si="107"/>
        <v>0</v>
      </c>
      <c r="J106" s="3">
        <f t="shared" si="107"/>
        <v>0.2142857143</v>
      </c>
      <c r="K106" s="3">
        <f t="shared" si="107"/>
        <v>0</v>
      </c>
    </row>
    <row r="107" ht="112.5" customHeight="1">
      <c r="A107" s="3" t="str">
        <f>EQ!A110</f>
        <v>fcf731e2be9a1377e7aed9c84be49e59ff2b3595fd86235d37d58011462b8fcf</v>
      </c>
      <c r="B107" s="3">
        <f t="array" ref="B107">XLOOKUP(A107, Notes!A:A, Notes!B:B, "")</f>
        <v>55.16</v>
      </c>
      <c r="C107" s="3" t="str">
        <f>IFERROR(IMAGE(VLOOKUP(A107,DriveImages!A:C,3,FALSE),4,240,520),"")</f>
        <v/>
      </c>
      <c r="D107" s="3" t="str">
        <f>IF($A107="","",IF(AND(N($G107)&lt;=Params!$D$2,N($H107)&lt;=Params!$E$2),"Peu actif",IF(AND(N($I107)&gt;=Params!$F$4,N($E107)&lt;=Params!$B$2,N($F107)&lt;=Params!$C$2),"Efficace",IF(AND(N($F107)&gt;=Params!$C$4,OR(N($I107)&lt;=Params!$F$3,N($E107)&gt;=Params!$B$4)),"Bloqué",IF(AND(OR(N($G107)&gt;=Params!$D$4,N($H107)&gt;=Params!$E$4),N($I107)&lt;=Params!$F$3),"Persévérant",IF(AND(N($J107)&gt;=Params!$G$4,OR(N($G107)&lt;=Params!$D$3,N($H107)&lt;=Params!$E$3)),"Sporadique","Intermédiaire"))))))</f>
        <v>Bloqué</v>
      </c>
      <c r="E107" s="6">
        <f t="array" ref="E107">XLOOKUP(A107, EQ!A:A, EQ!B:B, "")</f>
        <v>1</v>
      </c>
      <c r="F107" s="6">
        <f t="array" ref="F107">XLOOKUP(A107, RED!A:A, RED!B:B, "")</f>
        <v>0.90909091</v>
      </c>
      <c r="G107" s="3">
        <f t="shared" si="19"/>
        <v>11</v>
      </c>
      <c r="H107" s="3">
        <f t="shared" ref="H107:K107" si="108">XLOOKUP($A107, INDIRECT("'"&amp;H$1&amp;"'!A:A"), INDIRECT("'"&amp;H$1&amp;"'!B:B"), "")</f>
        <v>2</v>
      </c>
      <c r="I107" s="3">
        <f t="shared" si="108"/>
        <v>0</v>
      </c>
      <c r="J107" s="3">
        <f t="shared" si="108"/>
        <v>0.1</v>
      </c>
      <c r="K107" s="3">
        <f t="shared" si="108"/>
        <v>0</v>
      </c>
    </row>
    <row r="108" ht="112.5" customHeight="1">
      <c r="A108" s="3" t="str">
        <f>EQ!A48</f>
        <v>73da0df025bd69a83446ff2c9628a7f2f1ff34bff9e343059e17e4d31a6218d3</v>
      </c>
      <c r="B108" s="3">
        <f t="array" ref="B108">XLOOKUP(A108, Notes!A:A, Notes!B:B, "")</f>
        <v>66.73</v>
      </c>
      <c r="C108" s="3" t="str">
        <f>IFERROR(IMAGE(VLOOKUP(A108,DriveImages!A:C,3,FALSE),4,240,520),"")</f>
        <v/>
      </c>
      <c r="D108" s="3" t="str">
        <f>IF($A108="","",IF(AND(N($G108)&lt;=Params!$D$2,N($H108)&lt;=Params!$E$2),"Peu actif",IF(AND(N($I108)&gt;=Params!$F$4,N($E108)&lt;=Params!$B$2,N($F108)&lt;=Params!$C$2),"Efficace",IF(AND(N($F108)&gt;=Params!$C$4,OR(N($I108)&lt;=Params!$F$3,N($E108)&gt;=Params!$B$4)),"Bloqué",IF(AND(OR(N($G108)&gt;=Params!$D$4,N($H108)&gt;=Params!$E$4),N($I108)&lt;=Params!$F$3),"Persévérant",IF(AND(N($J108)&gt;=Params!$G$4,OR(N($G108)&lt;=Params!$D$3,N($H108)&lt;=Params!$E$3)),"Sporadique","Intermédiaire"))))))</f>
        <v>Bloqué</v>
      </c>
      <c r="E108" s="6">
        <f t="array" ref="E108">XLOOKUP(A108, EQ!A:A, EQ!B:B, "")</f>
        <v>1</v>
      </c>
      <c r="F108" s="6">
        <f t="array" ref="F108">XLOOKUP(A108, RED!A:A, RED!B:B, "")</f>
        <v>0.92307692</v>
      </c>
      <c r="G108" s="3">
        <f t="shared" si="19"/>
        <v>13</v>
      </c>
      <c r="H108" s="3">
        <f t="shared" ref="H108:K108" si="109">XLOOKUP($A108, INDIRECT("'"&amp;H$1&amp;"'!A:A"), INDIRECT("'"&amp;H$1&amp;"'!B:B"), "")</f>
        <v>2</v>
      </c>
      <c r="I108" s="3">
        <f t="shared" si="109"/>
        <v>0</v>
      </c>
      <c r="J108" s="3">
        <f t="shared" si="109"/>
        <v>0.08333333333</v>
      </c>
      <c r="K108" s="3">
        <f t="shared" si="109"/>
        <v>0</v>
      </c>
    </row>
    <row r="109" ht="112.5" customHeight="1">
      <c r="A109" s="3" t="str">
        <f>EQ!A51</f>
        <v>7854ad4022596904b137ebbb044e0bbbd2f590b0dac7f5a46d9991f3c049d647</v>
      </c>
      <c r="B109" s="3">
        <f t="array" ref="B109">XLOOKUP(A109, Notes!A:A, Notes!B:B, "")</f>
        <v>45.5</v>
      </c>
      <c r="C109" s="3" t="str">
        <f>IFERROR(IMAGE(VLOOKUP(A109,DriveImages!A:C,3,FALSE),4,240,520),"")</f>
        <v/>
      </c>
      <c r="D109" s="3" t="str">
        <f>IF($A109="","",IF(AND(N($G109)&lt;=Params!$D$2,N($H109)&lt;=Params!$E$2),"Peu actif",IF(AND(N($I109)&gt;=Params!$F$4,N($E109)&lt;=Params!$B$2,N($F109)&lt;=Params!$C$2),"Efficace",IF(AND(N($F109)&gt;=Params!$C$4,OR(N($I109)&lt;=Params!$F$3,N($E109)&gt;=Params!$B$4)),"Bloqué",IF(AND(OR(N($G109)&gt;=Params!$D$4,N($H109)&gt;=Params!$E$4),N($I109)&lt;=Params!$F$3),"Persévérant",IF(AND(N($J109)&gt;=Params!$G$4,OR(N($G109)&lt;=Params!$D$3,N($H109)&lt;=Params!$E$3)),"Sporadique","Intermédiaire"))))))</f>
        <v>Bloqué</v>
      </c>
      <c r="E109" s="6">
        <f t="array" ref="E109">XLOOKUP(A109, EQ!A:A, EQ!B:B, "")</f>
        <v>1</v>
      </c>
      <c r="F109" s="6">
        <f t="array" ref="F109">XLOOKUP(A109, RED!A:A, RED!B:B, "")</f>
        <v>0.93333333</v>
      </c>
      <c r="G109" s="3">
        <f t="shared" si="19"/>
        <v>16</v>
      </c>
      <c r="H109" s="3">
        <f t="shared" ref="H109:K109" si="110">XLOOKUP($A109, INDIRECT("'"&amp;H$1&amp;"'!A:A"), INDIRECT("'"&amp;H$1&amp;"'!B:B"), "")</f>
        <v>3</v>
      </c>
      <c r="I109" s="3">
        <f t="shared" si="110"/>
        <v>0</v>
      </c>
      <c r="J109" s="3">
        <f t="shared" si="110"/>
        <v>0.1333333333</v>
      </c>
      <c r="K109" s="3">
        <f t="shared" si="110"/>
        <v>0</v>
      </c>
    </row>
    <row r="110" ht="112.5" customHeight="1">
      <c r="A110" s="3" t="str">
        <f>EQ!A35</f>
        <v>570df8c7a9f77bb2889ba29eb35271e4e2340fd1709d075882800ac637643e15</v>
      </c>
      <c r="B110" s="3">
        <f t="array" ref="B110">XLOOKUP(A110, Notes!A:A, Notes!B:B, "")</f>
        <v>37.75</v>
      </c>
      <c r="C110" s="3" t="str">
        <f>IFERROR(IMAGE(VLOOKUP(A110,DriveImages!A:C,3,FALSE),4,240,520),"")</f>
        <v/>
      </c>
      <c r="D110" s="3" t="str">
        <f>IF($A110="","",IF(AND(N($G110)&lt;=Params!$D$2,N($H110)&lt;=Params!$E$2),"Peu actif",IF(AND(N($I110)&gt;=Params!$F$4,N($E110)&lt;=Params!$B$2,N($F110)&lt;=Params!$C$2),"Efficace",IF(AND(N($F110)&gt;=Params!$C$4,OR(N($I110)&lt;=Params!$F$3,N($E110)&gt;=Params!$B$4)),"Bloqué",IF(AND(OR(N($G110)&gt;=Params!$D$4,N($H110)&gt;=Params!$E$4),N($I110)&lt;=Params!$F$3),"Persévérant",IF(AND(N($J110)&gt;=Params!$G$4,OR(N($G110)&lt;=Params!$D$3,N($H110)&lt;=Params!$E$3)),"Sporadique","Intermédiaire"))))))</f>
        <v>Peu actif</v>
      </c>
      <c r="E110" s="6">
        <f t="array" ref="E110">XLOOKUP(A110, EQ!A:A, EQ!B:B, "")</f>
        <v>1</v>
      </c>
      <c r="F110" s="6">
        <f t="array" ref="F110">XLOOKUP(A110, RED!A:A, RED!B:B, "")</f>
        <v>0.75</v>
      </c>
      <c r="G110" s="3">
        <f t="shared" si="19"/>
        <v>4</v>
      </c>
      <c r="H110" s="3">
        <f t="shared" ref="H110:K110" si="111">XLOOKUP($A110, INDIRECT("'"&amp;H$1&amp;"'!A:A"), INDIRECT("'"&amp;H$1&amp;"'!B:B"), "")</f>
        <v>1</v>
      </c>
      <c r="I110" s="3">
        <f t="shared" si="111"/>
        <v>0</v>
      </c>
      <c r="J110" s="3">
        <f t="shared" si="111"/>
        <v>0</v>
      </c>
      <c r="K110" s="3">
        <f t="shared" si="111"/>
        <v>0</v>
      </c>
    </row>
    <row r="111" ht="112.5" customHeight="1">
      <c r="A111" s="3" t="str">
        <f>EQ!A24</f>
        <v>4082ac64b81101cbebcabd3b8b597bf7966896898674d507e118e3c0367ac800</v>
      </c>
      <c r="B111" s="3">
        <f t="array" ref="B111">XLOOKUP(A111, Notes!A:A, Notes!B:B, "")</f>
        <v>41.55</v>
      </c>
      <c r="C111" s="3" t="str">
        <f>IFERROR(IMAGE(VLOOKUP(A111,DriveImages!A:C,3,FALSE),4,240,520),"")</f>
        <v/>
      </c>
      <c r="D111" s="3" t="str">
        <f>IF($A111="","",IF(AND(N($G111)&lt;=Params!$D$2,N($H111)&lt;=Params!$E$2),"Peu actif",IF(AND(N($I111)&gt;=Params!$F$4,N($E111)&lt;=Params!$B$2,N($F111)&lt;=Params!$C$2),"Efficace",IF(AND(N($F111)&gt;=Params!$C$4,OR(N($I111)&lt;=Params!$F$3,N($E111)&gt;=Params!$B$4)),"Bloqué",IF(AND(OR(N($G111)&gt;=Params!$D$4,N($H111)&gt;=Params!$E$4),N($I111)&lt;=Params!$F$3),"Persévérant",IF(AND(N($J111)&gt;=Params!$G$4,OR(N($G111)&lt;=Params!$D$3,N($H111)&lt;=Params!$E$3)),"Sporadique","Intermédiaire"))))))</f>
        <v>Peu actif</v>
      </c>
      <c r="E111" s="6">
        <f t="array" ref="E111">XLOOKUP(A111, EQ!A:A, EQ!B:B, "")</f>
        <v>1</v>
      </c>
      <c r="F111" s="6">
        <f t="array" ref="F111">XLOOKUP(A111, RED!A:A, RED!B:B, "")</f>
        <v>0.8</v>
      </c>
      <c r="G111" s="3">
        <f t="shared" si="19"/>
        <v>5</v>
      </c>
      <c r="H111" s="3">
        <f t="shared" ref="H111:K111" si="112">XLOOKUP($A111, INDIRECT("'"&amp;H$1&amp;"'!A:A"), INDIRECT("'"&amp;H$1&amp;"'!B:B"), "")</f>
        <v>1</v>
      </c>
      <c r="I111" s="3">
        <f t="shared" si="112"/>
        <v>0</v>
      </c>
      <c r="J111" s="3">
        <f t="shared" si="112"/>
        <v>0</v>
      </c>
      <c r="K111" s="3">
        <f t="shared" si="112"/>
        <v>0</v>
      </c>
    </row>
    <row r="112">
      <c r="A112" s="3" t="str">
        <f>EQ!A112</f>
        <v/>
      </c>
      <c r="E112" s="6"/>
      <c r="F112" s="6"/>
    </row>
    <row r="113">
      <c r="A113" s="3" t="str">
        <f>EQ!A113</f>
        <v/>
      </c>
      <c r="E113" s="6"/>
      <c r="F113" s="6"/>
    </row>
    <row r="114">
      <c r="A114" s="3" t="str">
        <f>EQ!A114</f>
        <v/>
      </c>
      <c r="E114" s="6"/>
      <c r="F114" s="6"/>
    </row>
    <row r="115">
      <c r="A115" s="3" t="str">
        <f>EQ!A115</f>
        <v/>
      </c>
      <c r="E115" s="6"/>
      <c r="F115" s="6"/>
    </row>
    <row r="116">
      <c r="A116" s="3" t="str">
        <f>EQ!A116</f>
        <v/>
      </c>
      <c r="E116" s="6"/>
      <c r="F116" s="6"/>
    </row>
    <row r="117">
      <c r="A117" s="3" t="str">
        <f>EQ!A117</f>
        <v/>
      </c>
      <c r="E117" s="6"/>
      <c r="F117" s="6"/>
    </row>
    <row r="118">
      <c r="A118" s="3" t="str">
        <f>EQ!A118</f>
        <v/>
      </c>
      <c r="E118" s="6"/>
      <c r="F118" s="6"/>
    </row>
    <row r="119">
      <c r="A119" s="3" t="str">
        <f>EQ!A119</f>
        <v/>
      </c>
      <c r="E119" s="6"/>
      <c r="F119" s="6"/>
    </row>
    <row r="120">
      <c r="A120" s="3" t="str">
        <f>EQ!A120</f>
        <v/>
      </c>
      <c r="E120" s="6"/>
      <c r="F120" s="6"/>
    </row>
    <row r="121">
      <c r="A121" s="3" t="str">
        <f>EQ!A121</f>
        <v/>
      </c>
      <c r="E121" s="6"/>
      <c r="F121" s="6"/>
    </row>
    <row r="122">
      <c r="A122" s="3" t="str">
        <f>EQ!A122</f>
        <v/>
      </c>
      <c r="E122" s="6"/>
      <c r="F122" s="6"/>
    </row>
    <row r="123">
      <c r="A123" s="3" t="str">
        <f>EQ!A123</f>
        <v/>
      </c>
      <c r="E123" s="6"/>
      <c r="F123" s="6"/>
    </row>
    <row r="124">
      <c r="A124" s="3" t="str">
        <f>EQ!A124</f>
        <v/>
      </c>
      <c r="E124" s="6"/>
      <c r="F124" s="6"/>
    </row>
    <row r="125">
      <c r="A125" s="3" t="str">
        <f>EQ!A125</f>
        <v/>
      </c>
      <c r="E125" s="6"/>
      <c r="F125" s="6"/>
    </row>
    <row r="126">
      <c r="A126" s="3" t="str">
        <f>EQ!A126</f>
        <v/>
      </c>
      <c r="E126" s="6"/>
      <c r="F126" s="6"/>
    </row>
    <row r="127">
      <c r="A127" s="3" t="str">
        <f>EQ!A127</f>
        <v/>
      </c>
      <c r="E127" s="6"/>
      <c r="F127" s="6"/>
    </row>
    <row r="128">
      <c r="A128" s="3" t="str">
        <f>EQ!A128</f>
        <v/>
      </c>
      <c r="E128" s="6"/>
      <c r="F128" s="6"/>
    </row>
    <row r="129">
      <c r="A129" s="3" t="str">
        <f>EQ!A129</f>
        <v/>
      </c>
      <c r="E129" s="6"/>
      <c r="F129" s="6"/>
    </row>
    <row r="130">
      <c r="A130" s="3" t="str">
        <f>EQ!A130</f>
        <v/>
      </c>
      <c r="E130" s="6"/>
      <c r="F130" s="6"/>
    </row>
    <row r="131">
      <c r="A131" s="3" t="str">
        <f>EQ!A131</f>
        <v/>
      </c>
      <c r="E131" s="6"/>
      <c r="F131" s="6"/>
    </row>
    <row r="132">
      <c r="A132" s="3" t="str">
        <f>EQ!A132</f>
        <v/>
      </c>
      <c r="E132" s="6"/>
      <c r="F132" s="6"/>
    </row>
    <row r="133">
      <c r="A133" s="3" t="str">
        <f>EQ!A133</f>
        <v/>
      </c>
      <c r="E133" s="6"/>
      <c r="F133" s="6"/>
    </row>
    <row r="134">
      <c r="A134" s="3" t="str">
        <f>EQ!A134</f>
        <v/>
      </c>
      <c r="E134" s="6"/>
      <c r="F134" s="6"/>
    </row>
    <row r="135">
      <c r="A135" s="3" t="str">
        <f>EQ!A135</f>
        <v/>
      </c>
      <c r="E135" s="6"/>
      <c r="F135" s="6"/>
    </row>
    <row r="136">
      <c r="A136" s="3" t="str">
        <f>EQ!A136</f>
        <v/>
      </c>
      <c r="E136" s="6"/>
      <c r="F136" s="6"/>
    </row>
    <row r="137">
      <c r="A137" s="3" t="str">
        <f>EQ!A137</f>
        <v/>
      </c>
      <c r="E137" s="6"/>
      <c r="F137" s="6"/>
    </row>
    <row r="138">
      <c r="A138" s="3" t="str">
        <f>EQ!A138</f>
        <v/>
      </c>
      <c r="E138" s="6"/>
      <c r="F138" s="6"/>
    </row>
    <row r="139">
      <c r="A139" s="3" t="str">
        <f>EQ!A139</f>
        <v/>
      </c>
      <c r="E139" s="6"/>
      <c r="F139" s="6"/>
    </row>
    <row r="140">
      <c r="A140" s="3" t="str">
        <f>EQ!A140</f>
        <v/>
      </c>
      <c r="E140" s="6"/>
      <c r="F140" s="6"/>
    </row>
    <row r="141">
      <c r="A141" s="3" t="str">
        <f>EQ!A141</f>
        <v/>
      </c>
      <c r="E141" s="6"/>
      <c r="F141" s="6"/>
    </row>
    <row r="142">
      <c r="A142" s="3" t="str">
        <f>EQ!A142</f>
        <v/>
      </c>
      <c r="E142" s="6"/>
      <c r="F142" s="6"/>
    </row>
    <row r="143">
      <c r="A143" s="3" t="str">
        <f>EQ!A143</f>
        <v/>
      </c>
      <c r="E143" s="6"/>
      <c r="F143" s="6"/>
    </row>
    <row r="144">
      <c r="A144" s="3" t="str">
        <f>EQ!A144</f>
        <v/>
      </c>
      <c r="E144" s="6"/>
      <c r="F144" s="6"/>
    </row>
    <row r="145">
      <c r="A145" s="3" t="str">
        <f>EQ!A145</f>
        <v/>
      </c>
      <c r="E145" s="6"/>
      <c r="F145" s="6"/>
    </row>
    <row r="146">
      <c r="A146" s="3" t="str">
        <f>EQ!A146</f>
        <v/>
      </c>
      <c r="E146" s="6"/>
      <c r="F146" s="6"/>
    </row>
    <row r="147">
      <c r="A147" s="3" t="str">
        <f>EQ!A147</f>
        <v/>
      </c>
      <c r="E147" s="6"/>
      <c r="F147" s="6"/>
    </row>
    <row r="148">
      <c r="A148" s="3" t="str">
        <f>EQ!A148</f>
        <v/>
      </c>
      <c r="E148" s="6"/>
      <c r="F148" s="6"/>
    </row>
    <row r="149">
      <c r="A149" s="3" t="str">
        <f>EQ!A149</f>
        <v/>
      </c>
      <c r="E149" s="6"/>
      <c r="F149" s="6"/>
    </row>
    <row r="150">
      <c r="A150" s="3" t="str">
        <f>EQ!A150</f>
        <v/>
      </c>
      <c r="E150" s="6"/>
      <c r="F150" s="6"/>
    </row>
    <row r="151">
      <c r="A151" s="3" t="str">
        <f>EQ!A151</f>
        <v/>
      </c>
      <c r="E151" s="6"/>
      <c r="F151" s="6"/>
    </row>
    <row r="152">
      <c r="A152" s="3" t="str">
        <f>EQ!A152</f>
        <v/>
      </c>
      <c r="E152" s="6"/>
      <c r="F152" s="6"/>
    </row>
    <row r="153">
      <c r="A153" s="3" t="str">
        <f>EQ!A153</f>
        <v/>
      </c>
      <c r="E153" s="6"/>
      <c r="F153" s="6"/>
    </row>
    <row r="154">
      <c r="A154" s="3" t="str">
        <f>EQ!A154</f>
        <v/>
      </c>
      <c r="E154" s="6"/>
      <c r="F154" s="6"/>
    </row>
    <row r="155">
      <c r="A155" s="3" t="str">
        <f>EQ!A155</f>
        <v/>
      </c>
      <c r="E155" s="6"/>
      <c r="F155" s="6"/>
    </row>
    <row r="156">
      <c r="E156" s="6"/>
      <c r="F156" s="6"/>
    </row>
    <row r="157">
      <c r="E157" s="6"/>
      <c r="F157" s="6"/>
    </row>
    <row r="158">
      <c r="E158" s="6"/>
      <c r="F158" s="6"/>
    </row>
    <row r="159">
      <c r="E159" s="6"/>
      <c r="F159" s="6"/>
    </row>
    <row r="160">
      <c r="E160" s="6"/>
      <c r="F160" s="6"/>
    </row>
    <row r="161">
      <c r="E161" s="6"/>
      <c r="F161" s="6"/>
    </row>
    <row r="162">
      <c r="E162" s="6"/>
      <c r="F162" s="6"/>
    </row>
    <row r="163">
      <c r="E163" s="6"/>
      <c r="F163" s="6"/>
    </row>
    <row r="164">
      <c r="E164" s="6"/>
      <c r="F164" s="6"/>
    </row>
    <row r="165">
      <c r="E165" s="6"/>
      <c r="F165" s="6"/>
    </row>
    <row r="166">
      <c r="E166" s="6"/>
      <c r="F166" s="6"/>
    </row>
    <row r="167">
      <c r="E167" s="6"/>
      <c r="F167" s="6"/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  <row r="1000">
      <c r="E1000" s="6"/>
      <c r="F1000" s="6"/>
    </row>
  </sheetData>
  <autoFilter ref="$A$1:$K$111">
    <sortState ref="A1:K111">
      <sortCondition descending="1" ref="K1:K111"/>
      <sortCondition ref="D1:D111"/>
    </sortState>
  </autoFilter>
  <conditionalFormatting sqref="B1:B1000">
    <cfRule type="cellIs" dxfId="0" priority="1" operator="lessThan">
      <formula>25</formula>
    </cfRule>
  </conditionalFormatting>
  <conditionalFormatting sqref="B1:B1000">
    <cfRule type="cellIs" dxfId="1" priority="2" operator="lessThan">
      <formula>50</formula>
    </cfRule>
  </conditionalFormatting>
  <conditionalFormatting sqref="B1:B1000">
    <cfRule type="cellIs" dxfId="2" priority="3" operator="lessThan">
      <formula>75</formula>
    </cfRule>
  </conditionalFormatting>
  <conditionalFormatting sqref="B1:B1000">
    <cfRule type="cellIs" dxfId="3" priority="4" operator="lessThan">
      <formula>100</formula>
    </cfRule>
  </conditionalFormatting>
  <conditionalFormatting sqref="D1:D111">
    <cfRule type="cellIs" dxfId="3" priority="5" operator="equal">
      <formula>"Efficace"</formula>
    </cfRule>
  </conditionalFormatting>
  <conditionalFormatting sqref="D1:D1000">
    <cfRule type="cellIs" dxfId="4" priority="6" operator="equal">
      <formula>"Peu actif"</formula>
    </cfRule>
  </conditionalFormatting>
  <conditionalFormatting sqref="D1:D1000">
    <cfRule type="cellIs" dxfId="5" priority="7" operator="equal">
      <formula>"Intermédiaire"</formula>
    </cfRule>
  </conditionalFormatting>
  <conditionalFormatting sqref="D1:D1000">
    <cfRule type="cellIs" dxfId="6" priority="8" operator="equal">
      <formula>"Sporadique"</formula>
    </cfRule>
  </conditionalFormatting>
  <conditionalFormatting sqref="D1:D1000">
    <cfRule type="cellIs" dxfId="7" priority="9" operator="equal">
      <formula>"Persévérant"</formula>
    </cfRule>
  </conditionalFormatting>
  <conditionalFormatting sqref="D1:D1000">
    <cfRule type="cellIs" dxfId="8" priority="10" operator="equal">
      <formula>"Bloqué"</formula>
    </cfRule>
  </conditionalFormatting>
  <conditionalFormatting sqref="K1:K1000">
    <cfRule type="cellIs" dxfId="8" priority="11" operator="lessThan">
      <formula>0.2</formula>
    </cfRule>
  </conditionalFormatting>
  <conditionalFormatting sqref="K1:K1000">
    <cfRule type="cellIs" dxfId="7" priority="12" operator="lessThan">
      <formula>0.4</formula>
    </cfRule>
  </conditionalFormatting>
  <conditionalFormatting sqref="K1:K1000">
    <cfRule type="cellIs" dxfId="2" priority="13" operator="lessThan">
      <formula>0.6</formula>
    </cfRule>
  </conditionalFormatting>
  <conditionalFormatting sqref="K1:K1000">
    <cfRule type="cellIs" dxfId="3" priority="14" operator="lessThan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6" t="str">
        <f>'Récap'!E1</f>
        <v>EQ</v>
      </c>
      <c r="C1" s="6" t="str">
        <f>'Récap'!F1</f>
        <v>RED</v>
      </c>
      <c r="D1" s="3" t="str">
        <f>'Récap'!G1</f>
        <v>Comp_Count</v>
      </c>
      <c r="E1" s="3" t="str">
        <f>'Récap'!H1</f>
        <v>Sess_Count</v>
      </c>
      <c r="F1" s="3" t="str">
        <f>'Récap'!I1</f>
        <v>Comp_FP_Ratio</v>
      </c>
      <c r="G1" s="3" t="str">
        <f>'Récap'!J1</f>
        <v>Frac_Long</v>
      </c>
      <c r="H1" s="3" t="str">
        <f>'Récap'!K1</f>
        <v>Mean_Test</v>
      </c>
      <c r="I1" s="3" t="str">
        <f>'Récap'!L1</f>
        <v/>
      </c>
      <c r="J1" s="3" t="str">
        <f>'Récap'!M1</f>
        <v/>
      </c>
      <c r="K1" s="3" t="str">
        <f>'Récap'!N1</f>
        <v/>
      </c>
      <c r="L1" s="3" t="str">
        <f>'Récap'!O1</f>
        <v/>
      </c>
    </row>
    <row r="2">
      <c r="A2" s="8" t="str">
        <f>'Récap'!A2</f>
        <v>0685c8001a43b03e0a155e1afa0c7bec2f4e82d24f7ce4843b25a441c45dd335</v>
      </c>
      <c r="B2" s="3">
        <f t="shared" ref="B2:H2" si="1">(XLOOKUP($A2, INDIRECT("'"&amp;B$1&amp;"'!A:A"), INDIRECT("'"&amp;B$1&amp;"'!B:B"), "")-AVERAGE(INDIRECT("'"&amp;B$1&amp;"'!B2:B")))/STDEV(INDIRECT("'"&amp;B$1&amp;"'!B2:B"))</f>
        <v>-1.226089681</v>
      </c>
      <c r="C2" s="3">
        <f t="shared" si="1"/>
        <v>-1.088641892</v>
      </c>
      <c r="D2" s="3">
        <f t="shared" si="1"/>
        <v>-0.8224241815</v>
      </c>
      <c r="E2" s="3">
        <f t="shared" si="1"/>
        <v>-0.91682969</v>
      </c>
      <c r="F2" s="3">
        <f t="shared" si="1"/>
        <v>1.62559312</v>
      </c>
      <c r="G2" s="3">
        <f t="shared" si="1"/>
        <v>-0.8146049511</v>
      </c>
      <c r="H2" s="3">
        <f t="shared" si="1"/>
        <v>1.98940031</v>
      </c>
    </row>
    <row r="3">
      <c r="A3" s="8" t="str">
        <f>'Récap'!A3</f>
        <v>69ea8e8a316c3f982db0286a71ca33c251b858994e27bb848e628967df9d15f9</v>
      </c>
      <c r="B3" s="3">
        <f t="shared" ref="B3:B111" si="3">(XLOOKUP(A3, INDIRECT("'"&amp;B$1&amp;"'!A:A"), INDIRECT("'"&amp;B$1&amp;"'!B:B"), "")-AVERAGE(INDIRECT("'"&amp;B$1&amp;"'!B2:B")))/STDEV(INDIRECT("'"&amp;B$1&amp;"'!B2:B"))</f>
        <v>-1.226089681</v>
      </c>
      <c r="C3" s="3">
        <f t="shared" ref="C3:H3" si="2">(XLOOKUP($A3, INDIRECT("'"&amp;C$1&amp;"'!A:A"), INDIRECT("'"&amp;C$1&amp;"'!B:B"), "")-AVERAGE(INDIRECT("'"&amp;C$1&amp;"'!B2:B")))/STDEV(INDIRECT("'"&amp;C$1&amp;"'!B2:B"))</f>
        <v>-1.088641892</v>
      </c>
      <c r="D3" s="3">
        <f t="shared" si="2"/>
        <v>-0.8224241815</v>
      </c>
      <c r="E3" s="3">
        <f t="shared" si="2"/>
        <v>0.9452585176</v>
      </c>
      <c r="F3" s="3">
        <f t="shared" si="2"/>
        <v>1.62559312</v>
      </c>
      <c r="G3" s="3">
        <f t="shared" si="2"/>
        <v>4.652484164</v>
      </c>
      <c r="H3" s="3">
        <f t="shared" si="2"/>
        <v>1.887886082</v>
      </c>
    </row>
    <row r="4">
      <c r="A4" s="8" t="str">
        <f>'Récap'!A4</f>
        <v>091dc109aa58c7a670f4b61bc23df548fec73c05c7582dfb7c51f3a925d3618f</v>
      </c>
      <c r="B4" s="3">
        <f t="shared" si="3"/>
        <v>-1.086266841</v>
      </c>
      <c r="C4" s="3">
        <f t="shared" ref="C4:H4" si="4">(XLOOKUP($A4, INDIRECT("'"&amp;C$1&amp;"'!A:A"), INDIRECT("'"&amp;C$1&amp;"'!B:B"), "")-AVERAGE(INDIRECT("'"&amp;C$1&amp;"'!B2:B")))/STDEV(INDIRECT("'"&amp;C$1&amp;"'!B2:B"))</f>
        <v>-1.008048366</v>
      </c>
      <c r="D4" s="3">
        <f t="shared" si="4"/>
        <v>1.52992446</v>
      </c>
      <c r="E4" s="3">
        <f t="shared" si="4"/>
        <v>1.876302621</v>
      </c>
      <c r="F4" s="3">
        <f t="shared" si="4"/>
        <v>1.291345526</v>
      </c>
      <c r="G4" s="3">
        <f t="shared" si="4"/>
        <v>0.06403437097</v>
      </c>
      <c r="H4" s="3">
        <f t="shared" si="4"/>
        <v>1.68735088</v>
      </c>
    </row>
    <row r="5">
      <c r="A5" s="8" t="str">
        <f>'Récap'!A5</f>
        <v>275839578ec60b5084d5e18fccb01310e9f1b78293cad00bec043945e0f3e629</v>
      </c>
      <c r="B5" s="3">
        <f t="shared" si="3"/>
        <v>-1.226089681</v>
      </c>
      <c r="C5" s="3">
        <f t="shared" ref="C5:H5" si="5">(XLOOKUP($A5, INDIRECT("'"&amp;C$1&amp;"'!A:A"), INDIRECT("'"&amp;C$1&amp;"'!B:B"), "")-AVERAGE(INDIRECT("'"&amp;C$1&amp;"'!B2:B")))/STDEV(INDIRECT("'"&amp;C$1&amp;"'!B2:B"))</f>
        <v>-1.088641892</v>
      </c>
      <c r="D5" s="3">
        <f t="shared" si="5"/>
        <v>0.1185152751</v>
      </c>
      <c r="E5" s="3">
        <f t="shared" si="5"/>
        <v>0.9452585176</v>
      </c>
      <c r="F5" s="3">
        <f t="shared" si="5"/>
        <v>1.164013109</v>
      </c>
      <c r="G5" s="3">
        <f t="shared" si="5"/>
        <v>0.4470309985</v>
      </c>
      <c r="H5" s="3">
        <f t="shared" si="5"/>
        <v>1.556181786</v>
      </c>
    </row>
    <row r="6">
      <c r="A6" s="8" t="str">
        <f>'Récap'!A6</f>
        <v>cbdbb864a7b15c5903aa09adff018a3d184f25c250b86926a5bc3fd9d9169037</v>
      </c>
      <c r="B6" s="3">
        <f t="shared" si="3"/>
        <v>-0.4570640616</v>
      </c>
      <c r="C6" s="3">
        <f t="shared" ref="C6:H6" si="6">(XLOOKUP($A6, INDIRECT("'"&amp;C$1&amp;"'!A:A"), INDIRECT("'"&amp;C$1&amp;"'!B:B"), "")-AVERAGE(INDIRECT("'"&amp;C$1&amp;"'!B2:B")))/STDEV(INDIRECT("'"&amp;C$1&amp;"'!B2:B"))</f>
        <v>-0.6453774441</v>
      </c>
      <c r="D6" s="3">
        <f t="shared" si="6"/>
        <v>0.1185152751</v>
      </c>
      <c r="E6" s="3">
        <f t="shared" si="6"/>
        <v>-0.91682969</v>
      </c>
      <c r="F6" s="3">
        <f t="shared" si="6"/>
        <v>1.164013109</v>
      </c>
      <c r="G6" s="3">
        <f t="shared" si="6"/>
        <v>-0.8146049511</v>
      </c>
      <c r="H6" s="3">
        <f t="shared" si="6"/>
        <v>1.544130067</v>
      </c>
    </row>
    <row r="7">
      <c r="A7" s="8" t="str">
        <f>'Récap'!A7</f>
        <v>95944dae06f4e15b8e63e41064092bc51db9f568df5abcdb866112b0a58a759a</v>
      </c>
      <c r="B7" s="3">
        <f t="shared" si="3"/>
        <v>-1.226089681</v>
      </c>
      <c r="C7" s="3">
        <f t="shared" ref="C7:H7" si="7">(XLOOKUP($A7, INDIRECT("'"&amp;C$1&amp;"'!A:A"), INDIRECT("'"&amp;C$1&amp;"'!B:B"), "")-AVERAGE(INDIRECT("'"&amp;C$1&amp;"'!B2:B")))/STDEV(INDIRECT("'"&amp;C$1&amp;"'!B2:B"))</f>
        <v>-1.088641892</v>
      </c>
      <c r="D7" s="3">
        <f t="shared" si="7"/>
        <v>-0.6342362901</v>
      </c>
      <c r="E7" s="3">
        <f t="shared" si="7"/>
        <v>-0.91682969</v>
      </c>
      <c r="F7" s="3">
        <f t="shared" si="7"/>
        <v>1.087083107</v>
      </c>
      <c r="G7" s="3">
        <f t="shared" si="7"/>
        <v>-0.8146049511</v>
      </c>
      <c r="H7" s="3">
        <f t="shared" si="7"/>
        <v>1.541981634</v>
      </c>
    </row>
    <row r="8">
      <c r="A8" s="8" t="str">
        <f>'Récap'!A8</f>
        <v>0ff8e00eabc873cbfaa0832c3aa0e4a4b03e6f72593a71ecf7e5b2e4d0c82e06</v>
      </c>
      <c r="B8" s="3">
        <f t="shared" si="3"/>
        <v>-1.226089681</v>
      </c>
      <c r="C8" s="3">
        <f t="shared" ref="C8:H8" si="8">(XLOOKUP($A8, INDIRECT("'"&amp;C$1&amp;"'!A:A"), INDIRECT("'"&amp;C$1&amp;"'!B:B"), "")-AVERAGE(INDIRECT("'"&amp;C$1&amp;"'!B2:B")))/STDEV(INDIRECT("'"&amp;C$1&amp;"'!B2:B"))</f>
        <v>-1.088641892</v>
      </c>
      <c r="D8" s="3">
        <f t="shared" si="8"/>
        <v>0.2126092207</v>
      </c>
      <c r="E8" s="3">
        <f t="shared" si="8"/>
        <v>-0.91682969</v>
      </c>
      <c r="F8" s="3">
        <f t="shared" si="8"/>
        <v>1.19478511</v>
      </c>
      <c r="G8" s="3">
        <f t="shared" si="8"/>
        <v>-0.8146049511</v>
      </c>
      <c r="H8" s="3">
        <f t="shared" si="8"/>
        <v>1.513877048</v>
      </c>
    </row>
    <row r="9">
      <c r="A9" s="8" t="str">
        <f>'Récap'!A9</f>
        <v>7ce2ef889fd3931ddf910c65e58e6b626f658d713486152c54f9f8a0e6f37375</v>
      </c>
      <c r="B9" s="3">
        <f t="shared" si="3"/>
        <v>-0.8415768713</v>
      </c>
      <c r="C9" s="3">
        <f t="shared" ref="C9:H9" si="9">(XLOOKUP($A9, INDIRECT("'"&amp;C$1&amp;"'!A:A"), INDIRECT("'"&amp;C$1&amp;"'!B:B"), "")-AVERAGE(INDIRECT("'"&amp;C$1&amp;"'!B2:B")))/STDEV(INDIRECT("'"&amp;C$1&amp;"'!B2:B"))</f>
        <v>-0.8670096682</v>
      </c>
      <c r="D9" s="3">
        <f t="shared" si="9"/>
        <v>0.8712668403</v>
      </c>
      <c r="E9" s="3">
        <f t="shared" si="9"/>
        <v>0.9452585176</v>
      </c>
      <c r="F9" s="3">
        <f t="shared" si="9"/>
        <v>1.184994019</v>
      </c>
      <c r="G9" s="3">
        <f t="shared" si="9"/>
        <v>-0.03359222037</v>
      </c>
      <c r="H9" s="3">
        <f t="shared" si="9"/>
        <v>1.473124115</v>
      </c>
    </row>
    <row r="10">
      <c r="A10" s="8" t="str">
        <f>'Récap'!A10</f>
        <v>bee686e3fcc9f3886386d09a5bbd6f4779d852c8bb282b0b6185be70704d9207</v>
      </c>
      <c r="B10" s="3">
        <f t="shared" si="3"/>
        <v>-1.226089681</v>
      </c>
      <c r="C10" s="3">
        <f t="shared" ref="C10:H10" si="10">(XLOOKUP($A10, INDIRECT("'"&amp;C$1&amp;"'!A:A"), INDIRECT("'"&amp;C$1&amp;"'!B:B"), "")-AVERAGE(INDIRECT("'"&amp;C$1&amp;"'!B2:B")))/STDEV(INDIRECT("'"&amp;C$1&amp;"'!B2:B"))</f>
        <v>-1.088641892</v>
      </c>
      <c r="D10" s="3">
        <f t="shared" si="10"/>
        <v>-0.3519544532</v>
      </c>
      <c r="E10" s="3">
        <f t="shared" si="10"/>
        <v>-0.91682969</v>
      </c>
      <c r="F10" s="3">
        <f t="shared" si="10"/>
        <v>1.266586445</v>
      </c>
      <c r="G10" s="3">
        <f t="shared" si="10"/>
        <v>-0.8146049511</v>
      </c>
      <c r="H10" s="3">
        <f t="shared" si="10"/>
        <v>1.453103512</v>
      </c>
    </row>
    <row r="11">
      <c r="A11" s="8" t="str">
        <f>'Récap'!A11</f>
        <v>d3f0d126711eb978e948a2cbeb9c2b2b0ffa79541fe717c41575d91f5e21aa61</v>
      </c>
      <c r="B11" s="3">
        <f t="shared" si="3"/>
        <v>-1.226089681</v>
      </c>
      <c r="C11" s="3">
        <f t="shared" ref="C11:H11" si="11">(XLOOKUP($A11, INDIRECT("'"&amp;C$1&amp;"'!A:A"), INDIRECT("'"&amp;C$1&amp;"'!B:B"), "")-AVERAGE(INDIRECT("'"&amp;C$1&amp;"'!B2:B")))/STDEV(INDIRECT("'"&amp;C$1&amp;"'!B2:B"))</f>
        <v>-1.088641892</v>
      </c>
      <c r="D11" s="3">
        <f t="shared" si="11"/>
        <v>0.4948910577</v>
      </c>
      <c r="E11" s="3">
        <f t="shared" si="11"/>
        <v>0.9452585176</v>
      </c>
      <c r="F11" s="3">
        <f t="shared" si="11"/>
        <v>1.266586445</v>
      </c>
      <c r="G11" s="3">
        <f t="shared" si="11"/>
        <v>0.150175481</v>
      </c>
      <c r="H11" s="3">
        <f t="shared" si="11"/>
        <v>1.395766242</v>
      </c>
    </row>
    <row r="12">
      <c r="A12" s="8" t="str">
        <f>'Récap'!A12</f>
        <v>ea47fdcc277117bd663900f36ab09bad41ea1af083ccbc63647b5838e1056ebc</v>
      </c>
      <c r="B12" s="3">
        <f t="shared" si="3"/>
        <v>-1.226089681</v>
      </c>
      <c r="C12" s="3">
        <f t="shared" ref="C12:H12" si="12">(XLOOKUP($A12, INDIRECT("'"&amp;C$1&amp;"'!A:A"), INDIRECT("'"&amp;C$1&amp;"'!B:B"), "")-AVERAGE(INDIRECT("'"&amp;C$1&amp;"'!B2:B")))/STDEV(INDIRECT("'"&amp;C$1&amp;"'!B2:B"))</f>
        <v>-1.088641892</v>
      </c>
      <c r="D12" s="3">
        <f t="shared" si="12"/>
        <v>0.5889850033</v>
      </c>
      <c r="E12" s="3">
        <f t="shared" si="12"/>
        <v>-0.91682969</v>
      </c>
      <c r="F12" s="3">
        <f t="shared" si="12"/>
        <v>1.115425739</v>
      </c>
      <c r="G12" s="3">
        <f t="shared" si="12"/>
        <v>-0.8146049511</v>
      </c>
      <c r="H12" s="3">
        <f t="shared" si="12"/>
        <v>1.317826777</v>
      </c>
    </row>
    <row r="13">
      <c r="A13" s="8" t="str">
        <f>'Récap'!A13</f>
        <v>3d85bc081b5cbae4e23792cd67c1c0fd9af811e86418a20d777c3fbe812ba910</v>
      </c>
      <c r="B13" s="3">
        <f t="shared" si="3"/>
        <v>-1.226089681</v>
      </c>
      <c r="C13" s="3">
        <f t="shared" ref="C13:H13" si="13">(XLOOKUP($A13, INDIRECT("'"&amp;C$1&amp;"'!A:A"), INDIRECT("'"&amp;C$1&amp;"'!B:B"), "")-AVERAGE(INDIRECT("'"&amp;C$1&amp;"'!B2:B")))/STDEV(INDIRECT("'"&amp;C$1&amp;"'!B2:B"))</f>
        <v>-1.088641892</v>
      </c>
      <c r="D13" s="3">
        <f t="shared" si="13"/>
        <v>-0.7283302358</v>
      </c>
      <c r="E13" s="3">
        <f t="shared" si="13"/>
        <v>0.0142144138</v>
      </c>
      <c r="F13" s="3">
        <f t="shared" si="13"/>
        <v>1.62559312</v>
      </c>
      <c r="G13" s="3">
        <f t="shared" si="13"/>
        <v>1.235553467</v>
      </c>
      <c r="H13" s="3">
        <f t="shared" si="13"/>
        <v>1.255825083</v>
      </c>
      <c r="K13" s="9"/>
    </row>
    <row r="14">
      <c r="A14" s="8" t="str">
        <f>'Récap'!A14</f>
        <v>0973288c77f97c9245c444f90526bc6137bc40b48200197fd5bb6134f618f165</v>
      </c>
      <c r="B14" s="3">
        <f t="shared" si="3"/>
        <v>-0.8415768713</v>
      </c>
      <c r="C14" s="3">
        <f t="shared" ref="C14:H14" si="14">(XLOOKUP($A14, INDIRECT("'"&amp;C$1&amp;"'!A:A"), INDIRECT("'"&amp;C$1&amp;"'!B:B"), "")-AVERAGE(INDIRECT("'"&amp;C$1&amp;"'!B2:B")))/STDEV(INDIRECT("'"&amp;C$1&amp;"'!B2:B"))</f>
        <v>-0.8670096682</v>
      </c>
      <c r="D14" s="3">
        <f t="shared" si="14"/>
        <v>0.3067031664</v>
      </c>
      <c r="E14" s="3">
        <f t="shared" si="14"/>
        <v>-0.91682969</v>
      </c>
      <c r="F14" s="3">
        <f t="shared" si="14"/>
        <v>1.019769355</v>
      </c>
      <c r="G14" s="3">
        <f t="shared" si="14"/>
        <v>-0.8146049511</v>
      </c>
      <c r="H14" s="3">
        <f t="shared" si="14"/>
        <v>1.223776914</v>
      </c>
      <c r="K14" s="9"/>
    </row>
    <row r="15">
      <c r="A15" s="8" t="str">
        <f>'Récap'!A15</f>
        <v>109c6e9ad83923fec425f5948621a620bad8efb25d507dbead8bcfa627bc55e6</v>
      </c>
      <c r="B15" s="3">
        <f t="shared" si="3"/>
        <v>-1.226089681</v>
      </c>
      <c r="C15" s="3">
        <f t="shared" ref="C15:H15" si="15">(XLOOKUP($A15, INDIRECT("'"&amp;C$1&amp;"'!A:A"), INDIRECT("'"&amp;C$1&amp;"'!B:B"), "")-AVERAGE(INDIRECT("'"&amp;C$1&amp;"'!B2:B")))/STDEV(INDIRECT("'"&amp;C$1&amp;"'!B2:B"))</f>
        <v>-1.088641892</v>
      </c>
      <c r="D15" s="3">
        <f t="shared" si="15"/>
        <v>0.4948910577</v>
      </c>
      <c r="E15" s="3">
        <f t="shared" si="15"/>
        <v>-0.91682969</v>
      </c>
      <c r="F15" s="3">
        <f t="shared" si="15"/>
        <v>0.9075797692</v>
      </c>
      <c r="G15" s="3">
        <f t="shared" si="15"/>
        <v>-0.8146049511</v>
      </c>
      <c r="H15" s="3">
        <f t="shared" si="15"/>
        <v>1.186469182</v>
      </c>
      <c r="K15" s="9"/>
    </row>
    <row r="16">
      <c r="A16" s="8" t="str">
        <f>'Récap'!A16</f>
        <v>5e8589d4cd67c4b88f84e378d72875ccd07de5c9e20cc666bbf217de9d3567b4</v>
      </c>
      <c r="B16" s="3">
        <f t="shared" si="3"/>
        <v>-1.226089681</v>
      </c>
      <c r="C16" s="3">
        <f t="shared" ref="C16:H16" si="16">(XLOOKUP($A16, INDIRECT("'"&amp;C$1&amp;"'!A:A"), INDIRECT("'"&amp;C$1&amp;"'!B:B"), "")-AVERAGE(INDIRECT("'"&amp;C$1&amp;"'!B2:B")))/STDEV(INDIRECT("'"&amp;C$1&amp;"'!B2:B"))</f>
        <v>-1.088641892</v>
      </c>
      <c r="D16" s="3">
        <f t="shared" si="16"/>
        <v>0.9653607859</v>
      </c>
      <c r="E16" s="3">
        <f t="shared" si="16"/>
        <v>0.9452585176</v>
      </c>
      <c r="F16" s="3">
        <f t="shared" si="16"/>
        <v>1.204150501</v>
      </c>
      <c r="G16" s="3">
        <f t="shared" si="16"/>
        <v>-0.06909279904</v>
      </c>
      <c r="H16" s="3">
        <f t="shared" si="16"/>
        <v>0.9808471913</v>
      </c>
    </row>
    <row r="17">
      <c r="A17" s="8" t="str">
        <f>'Récap'!A17</f>
        <v>322817f4854f2f71b85db9d2e7c04e4a44c91ea866c689f277a658abc7d22b12</v>
      </c>
      <c r="B17" s="3">
        <f t="shared" si="3"/>
        <v>-1.226089681</v>
      </c>
      <c r="C17" s="3">
        <f t="shared" ref="C17:H17" si="17">(XLOOKUP($A17, INDIRECT("'"&amp;C$1&amp;"'!A:A"), INDIRECT("'"&amp;C$1&amp;"'!B:B"), "")-AVERAGE(INDIRECT("'"&amp;C$1&amp;"'!B2:B")))/STDEV(INDIRECT("'"&amp;C$1&amp;"'!B2:B"))</f>
        <v>-1.088641892</v>
      </c>
      <c r="D17" s="3">
        <f t="shared" si="17"/>
        <v>0.400797112</v>
      </c>
      <c r="E17" s="3">
        <f t="shared" si="17"/>
        <v>0.9452585176</v>
      </c>
      <c r="F17" s="3">
        <f t="shared" si="17"/>
        <v>1.435530763</v>
      </c>
      <c r="G17" s="3">
        <f t="shared" si="17"/>
        <v>0.210474258</v>
      </c>
      <c r="H17" s="3">
        <f t="shared" si="17"/>
        <v>0.9796881858</v>
      </c>
    </row>
    <row r="18">
      <c r="A18" s="8" t="str">
        <f>'Récap'!A18</f>
        <v>22d436278c2d2678362e2b3102b5bfa9227eecad30f599801b730e0cc7acd1c6</v>
      </c>
      <c r="B18" s="3">
        <f t="shared" si="3"/>
        <v>-0.7866464699</v>
      </c>
      <c r="C18" s="3">
        <f t="shared" ref="C18:H18" si="18">(XLOOKUP($A18, INDIRECT("'"&amp;C$1&amp;"'!A:A"), INDIRECT("'"&amp;C$1&amp;"'!B:B"), "")-AVERAGE(INDIRECT("'"&amp;C$1&amp;"'!B2:B")))/STDEV(INDIRECT("'"&amp;C$1&amp;"'!B2:B"))</f>
        <v>-0.835347927</v>
      </c>
      <c r="D18" s="3">
        <f t="shared" si="18"/>
        <v>0.02442132941</v>
      </c>
      <c r="E18" s="3">
        <f t="shared" si="18"/>
        <v>2.807346725</v>
      </c>
      <c r="F18" s="3">
        <f t="shared" si="18"/>
        <v>0.8799638711</v>
      </c>
      <c r="G18" s="3">
        <f t="shared" si="18"/>
        <v>1.918939606</v>
      </c>
      <c r="H18" s="3">
        <f t="shared" si="18"/>
        <v>0.9649203171</v>
      </c>
    </row>
    <row r="19">
      <c r="A19" s="8" t="str">
        <f>'Récap'!A19</f>
        <v>2a9dda5adde456cb4c1ec3735fde1d4591c3b0780ef3d82b8c7fed613382e82f</v>
      </c>
      <c r="B19" s="3">
        <f t="shared" si="3"/>
        <v>-0.072551252</v>
      </c>
      <c r="C19" s="3">
        <f t="shared" ref="C19:H19" si="19">(XLOOKUP($A19, INDIRECT("'"&amp;C$1&amp;"'!A:A"), INDIRECT("'"&amp;C$1&amp;"'!B:B"), "")-AVERAGE(INDIRECT("'"&amp;C$1&amp;"'!B2:B")))/STDEV(INDIRECT("'"&amp;C$1&amp;"'!B2:B"))</f>
        <v>-0.09129688375</v>
      </c>
      <c r="D19" s="3">
        <f t="shared" si="19"/>
        <v>0.400797112</v>
      </c>
      <c r="E19" s="3">
        <f t="shared" si="19"/>
        <v>-0.91682969</v>
      </c>
      <c r="F19" s="3">
        <f t="shared" si="19"/>
        <v>0.6752813321</v>
      </c>
      <c r="G19" s="3">
        <f t="shared" si="19"/>
        <v>-0.8146049511</v>
      </c>
      <c r="H19" s="3">
        <f t="shared" si="19"/>
        <v>0.9366494944</v>
      </c>
    </row>
    <row r="20">
      <c r="A20" s="8" t="str">
        <f>'Récap'!A20</f>
        <v>f1adcb66d665ecba393da1490aca01e322bebd658ae2ef41aadee9ec7106def2</v>
      </c>
      <c r="B20" s="3">
        <f t="shared" si="3"/>
        <v>-1.226089681</v>
      </c>
      <c r="C20" s="3">
        <f t="shared" ref="C20:H20" si="20">(XLOOKUP($A20, INDIRECT("'"&amp;C$1&amp;"'!A:A"), INDIRECT("'"&amp;C$1&amp;"'!B:B"), "")-AVERAGE(INDIRECT("'"&amp;C$1&amp;"'!B2:B")))/STDEV(INDIRECT("'"&amp;C$1&amp;"'!B2:B"))</f>
        <v>-1.088641892</v>
      </c>
      <c r="D20" s="3">
        <f t="shared" si="20"/>
        <v>-0.8224241815</v>
      </c>
      <c r="E20" s="3">
        <f t="shared" si="20"/>
        <v>0.0142144138</v>
      </c>
      <c r="F20" s="3">
        <f t="shared" si="20"/>
        <v>0.8178281003</v>
      </c>
      <c r="G20" s="3">
        <f t="shared" si="20"/>
        <v>1.918939606</v>
      </c>
      <c r="H20" s="3">
        <f t="shared" si="20"/>
        <v>0.9091345623</v>
      </c>
    </row>
    <row r="21">
      <c r="A21" s="8" t="str">
        <f>'Récap'!A21</f>
        <v>950ed53de307960251af3e387e595945da87494d2d2edf58b103f58f4ccfef78</v>
      </c>
      <c r="B21" s="3">
        <f t="shared" si="3"/>
        <v>-1.226089681</v>
      </c>
      <c r="C21" s="3">
        <f t="shared" ref="C21:H21" si="21">(XLOOKUP($A21, INDIRECT("'"&amp;C$1&amp;"'!A:A"), INDIRECT("'"&amp;C$1&amp;"'!B:B"), "")-AVERAGE(INDIRECT("'"&amp;C$1&amp;"'!B2:B")))/STDEV(INDIRECT("'"&amp;C$1&amp;"'!B2:B"))</f>
        <v>-1.088641892</v>
      </c>
      <c r="D21" s="3">
        <f t="shared" si="21"/>
        <v>-0.5401423445</v>
      </c>
      <c r="E21" s="3">
        <f t="shared" si="21"/>
        <v>0.9452585176</v>
      </c>
      <c r="F21" s="3">
        <f t="shared" si="21"/>
        <v>1.164013109</v>
      </c>
      <c r="G21" s="3">
        <f t="shared" si="21"/>
        <v>1.918939606</v>
      </c>
      <c r="H21" s="3">
        <f t="shared" si="21"/>
        <v>0.8872346926</v>
      </c>
    </row>
    <row r="22">
      <c r="A22" s="8" t="str">
        <f>'Récap'!A22</f>
        <v>b2c90b16a2864cf16993f00192cdb13ee656ac6cd53f745acd473a25224cd05d</v>
      </c>
      <c r="B22" s="3">
        <f t="shared" si="3"/>
        <v>-0.9894664134</v>
      </c>
      <c r="C22" s="3">
        <f t="shared" ref="C22:H22" si="22">(XLOOKUP($A22, INDIRECT("'"&amp;C$1&amp;"'!A:A"), INDIRECT("'"&amp;C$1&amp;"'!B:B"), "")-AVERAGE(INDIRECT("'"&amp;C$1&amp;"'!B2:B")))/STDEV(INDIRECT("'"&amp;C$1&amp;"'!B2:B"))</f>
        <v>-0.9522528259</v>
      </c>
      <c r="D22" s="3">
        <f t="shared" si="22"/>
        <v>0.7771728946</v>
      </c>
      <c r="E22" s="3">
        <f t="shared" si="22"/>
        <v>3.738390829</v>
      </c>
      <c r="F22" s="3">
        <f t="shared" si="22"/>
        <v>0.8562931013</v>
      </c>
      <c r="G22" s="3">
        <f t="shared" si="22"/>
        <v>1.235553467</v>
      </c>
      <c r="H22" s="3">
        <f t="shared" si="22"/>
        <v>0.860056301</v>
      </c>
    </row>
    <row r="23">
      <c r="A23" s="8" t="str">
        <f>'Récap'!A23</f>
        <v>ad1624c5c3a02a3a3b3dcb044b912998b64ca2e7cd54abe79476f86a41a3234b</v>
      </c>
      <c r="B23" s="3">
        <f t="shared" si="3"/>
        <v>-1.226089681</v>
      </c>
      <c r="C23" s="3">
        <f t="shared" ref="C23:H23" si="23">(XLOOKUP($A23, INDIRECT("'"&amp;C$1&amp;"'!A:A"), INDIRECT("'"&amp;C$1&amp;"'!B:B"), "")-AVERAGE(INDIRECT("'"&amp;C$1&amp;"'!B2:B")))/STDEV(INDIRECT("'"&amp;C$1&amp;"'!B2:B"))</f>
        <v>-1.088641892</v>
      </c>
      <c r="D23" s="3">
        <f t="shared" si="23"/>
        <v>-0.5401423445</v>
      </c>
      <c r="E23" s="3">
        <f t="shared" si="23"/>
        <v>0.9452585176</v>
      </c>
      <c r="F23" s="3">
        <f t="shared" si="23"/>
        <v>1.164013109</v>
      </c>
      <c r="G23" s="3">
        <f t="shared" si="23"/>
        <v>1.918939606</v>
      </c>
      <c r="H23" s="3">
        <f t="shared" si="23"/>
        <v>0.8190419014</v>
      </c>
    </row>
    <row r="24">
      <c r="A24" s="8" t="str">
        <f>'Récap'!A24</f>
        <v>6b6e8c7036722d03a34126403e7106d3512a2d4b72bcd8bde651614e8ad42d7b</v>
      </c>
      <c r="B24" s="3">
        <f t="shared" si="3"/>
        <v>-0.4570640616</v>
      </c>
      <c r="C24" s="3">
        <f t="shared" ref="C24:H24" si="24">(XLOOKUP($A24, INDIRECT("'"&amp;C$1&amp;"'!A:A"), INDIRECT("'"&amp;C$1&amp;"'!B:B"), "")-AVERAGE(INDIRECT("'"&amp;C$1&amp;"'!B2:B")))/STDEV(INDIRECT("'"&amp;C$1&amp;"'!B2:B"))</f>
        <v>-0.6453774441</v>
      </c>
      <c r="D24" s="3">
        <f t="shared" si="24"/>
        <v>-0.6342362901</v>
      </c>
      <c r="E24" s="3">
        <f t="shared" si="24"/>
        <v>0.0142144138</v>
      </c>
      <c r="F24" s="3">
        <f t="shared" si="24"/>
        <v>0.5485730937</v>
      </c>
      <c r="G24" s="3">
        <f t="shared" si="24"/>
        <v>0.8255217834</v>
      </c>
      <c r="H24" s="3">
        <f t="shared" si="24"/>
        <v>0.8069350858</v>
      </c>
    </row>
    <row r="25">
      <c r="A25" s="8" t="str">
        <f>'Récap'!A25</f>
        <v>e3d00c0bcfea6e4a68c5c4842d0bedac5e761cfa5be62ec60aae839f44a7f555</v>
      </c>
      <c r="B25" s="3">
        <f t="shared" si="3"/>
        <v>-1.226089681</v>
      </c>
      <c r="C25" s="3">
        <f t="shared" ref="C25:H25" si="25">(XLOOKUP($A25, INDIRECT("'"&amp;C$1&amp;"'!A:A"), INDIRECT("'"&amp;C$1&amp;"'!B:B"), "")-AVERAGE(INDIRECT("'"&amp;C$1&amp;"'!B2:B")))/STDEV(INDIRECT("'"&amp;C$1&amp;"'!B2:B"))</f>
        <v>-1.088641892</v>
      </c>
      <c r="D25" s="3">
        <f t="shared" si="25"/>
        <v>-0.06967261625</v>
      </c>
      <c r="E25" s="3">
        <f t="shared" si="25"/>
        <v>0.9452585176</v>
      </c>
      <c r="F25" s="3">
        <f t="shared" si="25"/>
        <v>1.356338114</v>
      </c>
      <c r="G25" s="3">
        <f t="shared" si="25"/>
        <v>0.676419353</v>
      </c>
      <c r="H25" s="3">
        <f t="shared" si="25"/>
        <v>0.7990742525</v>
      </c>
    </row>
    <row r="26">
      <c r="A26" s="8" t="str">
        <f>'Récap'!A26</f>
        <v>f421319a6d338f4c75d9ce493c2ab35aa31da5115a045fb9149446903d5f1141</v>
      </c>
      <c r="B26" s="3">
        <f t="shared" si="3"/>
        <v>0.004351309931</v>
      </c>
      <c r="C26" s="3">
        <f t="shared" ref="C26:H26" si="26">(XLOOKUP($A26, INDIRECT("'"&amp;C$1&amp;"'!A:A"), INDIRECT("'"&amp;C$1&amp;"'!B:B"), "")-AVERAGE(INDIRECT("'"&amp;C$1&amp;"'!B2:B")))/STDEV(INDIRECT("'"&amp;C$1&amp;"'!B2:B"))</f>
        <v>-0.1430110576</v>
      </c>
      <c r="D26" s="3">
        <f t="shared" si="26"/>
        <v>0.1185152751</v>
      </c>
      <c r="E26" s="3">
        <f t="shared" si="26"/>
        <v>0.0142144138</v>
      </c>
      <c r="F26" s="3">
        <f t="shared" si="26"/>
        <v>0.4716430918</v>
      </c>
      <c r="G26" s="3">
        <f t="shared" si="26"/>
        <v>-0.1837869763</v>
      </c>
      <c r="H26" s="3">
        <f t="shared" si="26"/>
        <v>0.7760510435</v>
      </c>
    </row>
    <row r="27">
      <c r="A27" s="8" t="str">
        <f>'Récap'!A27</f>
        <v>349cf265b30475874348c4e1b4520dc39d2668fe73f446cde11ed834aef06f6d</v>
      </c>
      <c r="B27" s="3">
        <f t="shared" si="3"/>
        <v>-0.6108691855</v>
      </c>
      <c r="C27" s="3">
        <f t="shared" ref="C27:H27" si="27">(XLOOKUP($A27, INDIRECT("'"&amp;C$1&amp;"'!A:A"), INDIRECT("'"&amp;C$1&amp;"'!B:B"), "")-AVERAGE(INDIRECT("'"&amp;C$1&amp;"'!B2:B")))/STDEV(INDIRECT("'"&amp;C$1&amp;"'!B2:B"))</f>
        <v>-0.7340303338</v>
      </c>
      <c r="D27" s="3">
        <f t="shared" si="27"/>
        <v>-0.3519544532</v>
      </c>
      <c r="E27" s="3">
        <f t="shared" si="27"/>
        <v>0.0142144138</v>
      </c>
      <c r="F27" s="3">
        <f t="shared" si="27"/>
        <v>0.5485730937</v>
      </c>
      <c r="G27" s="3">
        <f t="shared" si="27"/>
        <v>0.210474258</v>
      </c>
      <c r="H27" s="3">
        <f t="shared" si="27"/>
        <v>0.6868299159</v>
      </c>
    </row>
    <row r="28">
      <c r="A28" s="8" t="str">
        <f>'Récap'!A28</f>
        <v>40c1d250c97702986524dae1c4014dbac4abddab4fbfd395737f4e2fe64a247d</v>
      </c>
      <c r="B28" s="3">
        <f t="shared" si="3"/>
        <v>-0.6108691855</v>
      </c>
      <c r="C28" s="3">
        <f t="shared" ref="C28:H28" si="28">(XLOOKUP($A28, INDIRECT("'"&amp;C$1&amp;"'!A:A"), INDIRECT("'"&amp;C$1&amp;"'!B:B"), "")-AVERAGE(INDIRECT("'"&amp;C$1&amp;"'!B2:B")))/STDEV(INDIRECT("'"&amp;C$1&amp;"'!B2:B"))</f>
        <v>-0.6010509993</v>
      </c>
      <c r="D28" s="3">
        <f t="shared" si="28"/>
        <v>1.624018405</v>
      </c>
      <c r="E28" s="3">
        <f t="shared" si="28"/>
        <v>0.0142144138</v>
      </c>
      <c r="F28" s="3">
        <f t="shared" si="28"/>
        <v>0.440871091</v>
      </c>
      <c r="G28" s="3">
        <f t="shared" si="28"/>
        <v>-0.5318244796</v>
      </c>
      <c r="H28" s="3">
        <f t="shared" si="28"/>
        <v>0.5533662363</v>
      </c>
    </row>
    <row r="29">
      <c r="A29" s="8" t="str">
        <f>'Récap'!A29</f>
        <v>effa5fafd71a87510e477792561dc4c6a0d7a624d93f5ee78db77ac7c2a41d63</v>
      </c>
      <c r="B29" s="3">
        <f t="shared" si="3"/>
        <v>-0.5669248644</v>
      </c>
      <c r="C29" s="3">
        <f t="shared" ref="C29:H29" si="29">(XLOOKUP($A29, INDIRECT("'"&amp;C$1&amp;"'!A:A"), INDIRECT("'"&amp;C$1&amp;"'!B:B"), "")-AVERAGE(INDIRECT("'"&amp;C$1&amp;"'!B2:B")))/STDEV(INDIRECT("'"&amp;C$1&amp;"'!B2:B"))</f>
        <v>-0.5145088995</v>
      </c>
      <c r="D29" s="3">
        <f t="shared" si="29"/>
        <v>1.906300242</v>
      </c>
      <c r="E29" s="3">
        <f t="shared" si="29"/>
        <v>0.0142144138</v>
      </c>
      <c r="F29" s="3">
        <f t="shared" si="29"/>
        <v>0.6464840052</v>
      </c>
      <c r="G29" s="3">
        <f t="shared" si="29"/>
        <v>-0.5583351488</v>
      </c>
      <c r="H29" s="3">
        <f t="shared" si="29"/>
        <v>0.5369243091</v>
      </c>
    </row>
    <row r="30">
      <c r="A30" s="8" t="str">
        <f>'Récap'!A30</f>
        <v>8c496c831c776415f7491e6de8457bb88c62eefeff270c8e0dbec39b78b9413d</v>
      </c>
      <c r="B30" s="3">
        <f t="shared" si="3"/>
        <v>-1.226089681</v>
      </c>
      <c r="C30" s="3">
        <f t="shared" ref="C30:H30" si="30">(XLOOKUP($A30, INDIRECT("'"&amp;C$1&amp;"'!A:A"), INDIRECT("'"&amp;C$1&amp;"'!B:B"), "")-AVERAGE(INDIRECT("'"&amp;C$1&amp;"'!B2:B")))/STDEV(INDIRECT("'"&amp;C$1&amp;"'!B2:B"))</f>
        <v>-1.088641892</v>
      </c>
      <c r="D30" s="3">
        <f t="shared" si="30"/>
        <v>-0.2578605075</v>
      </c>
      <c r="E30" s="3">
        <f t="shared" si="30"/>
        <v>0.9452585176</v>
      </c>
      <c r="F30" s="3">
        <f t="shared" si="30"/>
        <v>0.3331690884</v>
      </c>
      <c r="G30" s="3">
        <f t="shared" si="30"/>
        <v>1.007758087</v>
      </c>
      <c r="H30" s="3">
        <f t="shared" si="30"/>
        <v>0.5008101956</v>
      </c>
    </row>
    <row r="31">
      <c r="A31" s="8" t="str">
        <f>'Récap'!A31</f>
        <v>6a91389bf293538f8bfd1747ffc38730176f9e72e8ed7004fabc8cd25e69df6b</v>
      </c>
      <c r="B31" s="3">
        <f t="shared" si="3"/>
        <v>-1.226089681</v>
      </c>
      <c r="C31" s="3">
        <f t="shared" ref="C31:H31" si="31">(XLOOKUP($A31, INDIRECT("'"&amp;C$1&amp;"'!A:A"), INDIRECT("'"&amp;C$1&amp;"'!B:B"), "")-AVERAGE(INDIRECT("'"&amp;C$1&amp;"'!B2:B")))/STDEV(INDIRECT("'"&amp;C$1&amp;"'!B2:B"))</f>
        <v>-1.088641892</v>
      </c>
      <c r="D31" s="3">
        <f t="shared" si="31"/>
        <v>-0.06967261625</v>
      </c>
      <c r="E31" s="3">
        <f t="shared" si="31"/>
        <v>0.0142144138</v>
      </c>
      <c r="F31" s="3">
        <f t="shared" si="31"/>
        <v>1.62559312</v>
      </c>
      <c r="G31" s="3">
        <f t="shared" si="31"/>
        <v>-0.06909279904</v>
      </c>
      <c r="H31" s="3">
        <f t="shared" si="31"/>
        <v>0.4567860717</v>
      </c>
    </row>
    <row r="32">
      <c r="A32" s="8" t="str">
        <f>'Récap'!A32</f>
        <v>76b0bf253c0d17b6f275cc641729eda42ebed851893da32c132515023ab1e4e1</v>
      </c>
      <c r="B32" s="3">
        <f t="shared" si="3"/>
        <v>-0.2007221885</v>
      </c>
      <c r="C32" s="3">
        <f t="shared" ref="C32:H32" si="32">(XLOOKUP($A32, INDIRECT("'"&amp;C$1&amp;"'!A:A"), INDIRECT("'"&amp;C$1&amp;"'!B:B"), "")-AVERAGE(INDIRECT("'"&amp;C$1&amp;"'!B2:B")))/STDEV(INDIRECT("'"&amp;C$1&amp;"'!B2:B"))</f>
        <v>-0.3006162144</v>
      </c>
      <c r="D32" s="3">
        <f t="shared" si="32"/>
        <v>-0.1637665619</v>
      </c>
      <c r="E32" s="3">
        <f t="shared" si="32"/>
        <v>0.0142144138</v>
      </c>
      <c r="F32" s="3">
        <f t="shared" si="32"/>
        <v>0.1569294476</v>
      </c>
      <c r="G32" s="3">
        <f t="shared" si="32"/>
        <v>0.005458416167</v>
      </c>
      <c r="H32" s="3">
        <f t="shared" si="32"/>
        <v>0.4551350036</v>
      </c>
    </row>
    <row r="33">
      <c r="A33" s="8" t="str">
        <f>'Récap'!A33</f>
        <v>93a7aef5296e288f3a39f8c1c0dcb8935c9657f5c87378408e5d1910444e7c70</v>
      </c>
      <c r="B33" s="3">
        <f t="shared" si="3"/>
        <v>0.5683034307</v>
      </c>
      <c r="C33" s="3">
        <f t="shared" ref="C33:H33" si="33">(XLOOKUP($A33, INDIRECT("'"&amp;C$1&amp;"'!A:A"), INDIRECT("'"&amp;C$1&amp;"'!B:B"), "")-AVERAGE(INDIRECT("'"&amp;C$1&amp;"'!B2:B")))/STDEV(INDIRECT("'"&amp;C$1&amp;"'!B2:B"))</f>
        <v>0.7213546166</v>
      </c>
      <c r="D33" s="3">
        <f t="shared" si="33"/>
        <v>0.683078949</v>
      </c>
      <c r="E33" s="3">
        <f t="shared" si="33"/>
        <v>1.876302621</v>
      </c>
      <c r="F33" s="3">
        <f t="shared" si="33"/>
        <v>0.1716160844</v>
      </c>
      <c r="G33" s="3">
        <f t="shared" si="33"/>
        <v>0.4802319446</v>
      </c>
      <c r="H33" s="3">
        <f t="shared" si="33"/>
        <v>0.4523835504</v>
      </c>
    </row>
    <row r="34">
      <c r="A34" s="8" t="str">
        <f>'Récap'!A34</f>
        <v>155464e7a35faffd6b3b4f2e6b757098204e8a24221641b58ee8156acfd2e1fc</v>
      </c>
      <c r="B34" s="3">
        <f t="shared" si="3"/>
        <v>-0.4570640616</v>
      </c>
      <c r="C34" s="3">
        <f t="shared" ref="C34:H34" si="34">(XLOOKUP($A34, INDIRECT("'"&amp;C$1&amp;"'!A:A"), INDIRECT("'"&amp;C$1&amp;"'!B:B"), "")-AVERAGE(INDIRECT("'"&amp;C$1&amp;"'!B2:B")))/STDEV(INDIRECT("'"&amp;C$1&amp;"'!B2:B"))</f>
        <v>-0.4976226162</v>
      </c>
      <c r="D34" s="3">
        <f t="shared" si="34"/>
        <v>-0.2578605075</v>
      </c>
      <c r="E34" s="3">
        <f t="shared" si="34"/>
        <v>-0.91682969</v>
      </c>
      <c r="F34" s="3">
        <f t="shared" si="34"/>
        <v>0.3331690884</v>
      </c>
      <c r="G34" s="3">
        <f t="shared" si="34"/>
        <v>-0.8146049511</v>
      </c>
      <c r="H34" s="3">
        <f t="shared" si="34"/>
        <v>0.4226805598</v>
      </c>
    </row>
    <row r="35">
      <c r="A35" s="8" t="str">
        <f>'Récap'!A35</f>
        <v>de14d69ecb05cea275dcf6a7cb707626315f3e81931958d7d7b15131368cf4d6</v>
      </c>
      <c r="B35" s="3">
        <f t="shared" si="3"/>
        <v>-1.226089681</v>
      </c>
      <c r="C35" s="3">
        <f t="shared" ref="C35:H35" si="35">(XLOOKUP($A35, INDIRECT("'"&amp;C$1&amp;"'!A:A"), INDIRECT("'"&amp;C$1&amp;"'!B:B"), "")-AVERAGE(INDIRECT("'"&amp;C$1&amp;"'!B2:B")))/STDEV(INDIRECT("'"&amp;C$1&amp;"'!B2:B"))</f>
        <v>-1.088641892</v>
      </c>
      <c r="D35" s="3">
        <f t="shared" si="35"/>
        <v>-0.3519544532</v>
      </c>
      <c r="E35" s="3">
        <f t="shared" si="35"/>
        <v>0.9452585176</v>
      </c>
      <c r="F35" s="3">
        <f t="shared" si="35"/>
        <v>0.1895664182</v>
      </c>
      <c r="G35" s="3">
        <f t="shared" si="35"/>
        <v>1.235553467</v>
      </c>
      <c r="H35" s="3">
        <f t="shared" si="35"/>
        <v>0.3476093534</v>
      </c>
    </row>
    <row r="36">
      <c r="A36" s="8" t="str">
        <f>'Récap'!A36</f>
        <v>9181e670a018653889d5263448f199379588274b90c51348445093423b56396b</v>
      </c>
      <c r="B36" s="3">
        <f t="shared" si="3"/>
        <v>-0.5852349982</v>
      </c>
      <c r="C36" s="3">
        <f t="shared" ref="C36:H36" si="36">(XLOOKUP($A36, INDIRECT("'"&amp;C$1&amp;"'!A:A"), INDIRECT("'"&amp;C$1&amp;"'!B:B"), "")-AVERAGE(INDIRECT("'"&amp;C$1&amp;"'!B2:B")))/STDEV(INDIRECT("'"&amp;C$1&amp;"'!B2:B"))</f>
        <v>-0.6084387283</v>
      </c>
      <c r="D36" s="3">
        <f t="shared" si="36"/>
        <v>1.718112351</v>
      </c>
      <c r="E36" s="3">
        <f t="shared" si="36"/>
        <v>-0.91682969</v>
      </c>
      <c r="F36" s="3">
        <f t="shared" si="36"/>
        <v>0.3748601862</v>
      </c>
      <c r="G36" s="3">
        <f t="shared" si="36"/>
        <v>-0.8146049511</v>
      </c>
      <c r="H36" s="3">
        <f t="shared" si="36"/>
        <v>0.3383749364</v>
      </c>
    </row>
    <row r="37">
      <c r="A37" s="8" t="str">
        <f>'Récap'!A37</f>
        <v>cef23c3f251969f778435219b38afa60f2e41b3927e82fa6d43de8c59f93f883</v>
      </c>
      <c r="B37" s="3">
        <f t="shared" si="3"/>
        <v>-0.2898845792</v>
      </c>
      <c r="C37" s="3">
        <f t="shared" ref="C37:H37" si="37">(XLOOKUP($A37, INDIRECT("'"&amp;C$1&amp;"'!A:A"), INDIRECT("'"&amp;C$1&amp;"'!B:B"), "")-AVERAGE(INDIRECT("'"&amp;C$1&amp;"'!B2:B")))/STDEV(INDIRECT("'"&amp;C$1&amp;"'!B2:B"))</f>
        <v>-0.3177472151</v>
      </c>
      <c r="D37" s="3">
        <f t="shared" si="37"/>
        <v>2.188582079</v>
      </c>
      <c r="E37" s="3">
        <f t="shared" si="37"/>
        <v>0.0142144138</v>
      </c>
      <c r="F37" s="3">
        <f t="shared" si="37"/>
        <v>0.3690697559</v>
      </c>
      <c r="G37" s="3">
        <f t="shared" si="37"/>
        <v>-0.5803011319</v>
      </c>
      <c r="H37" s="3">
        <f t="shared" si="37"/>
        <v>0.3241568427</v>
      </c>
    </row>
    <row r="38">
      <c r="A38" s="8" t="str">
        <f>'Récap'!A38</f>
        <v>88faa9b4e525ea83f6efab60ae88469da5222f0b0f52c16c3af4e4763baa1daf</v>
      </c>
      <c r="B38" s="3">
        <f t="shared" si="3"/>
        <v>-0.7134059347</v>
      </c>
      <c r="C38" s="3">
        <f t="shared" ref="C38:H38" si="38">(XLOOKUP($A38, INDIRECT("'"&amp;C$1&amp;"'!A:A"), INDIRECT("'"&amp;C$1&amp;"'!B:B"), "")-AVERAGE(INDIRECT("'"&amp;C$1&amp;"'!B2:B")))/STDEV(INDIRECT("'"&amp;C$1&amp;"'!B2:B"))</f>
        <v>-0.6946290534</v>
      </c>
      <c r="D38" s="3">
        <f t="shared" si="38"/>
        <v>0.1185152751</v>
      </c>
      <c r="E38" s="3">
        <f t="shared" si="38"/>
        <v>-0.91682969</v>
      </c>
      <c r="F38" s="3">
        <f t="shared" si="38"/>
        <v>0.4716430918</v>
      </c>
      <c r="G38" s="3">
        <f t="shared" si="38"/>
        <v>-0.8146049511</v>
      </c>
      <c r="H38" s="3">
        <f t="shared" si="38"/>
        <v>0.2841485781</v>
      </c>
    </row>
    <row r="39">
      <c r="A39" s="8" t="str">
        <f>'Récap'!A39</f>
        <v>fcc829e7dd1db87335c46064982f06853c8a5c39399202b284952458b04f0d5d</v>
      </c>
      <c r="B39" s="3">
        <f t="shared" si="3"/>
        <v>-0.3871526417</v>
      </c>
      <c r="C39" s="3">
        <f t="shared" ref="C39:H39" si="39">(XLOOKUP($A39, INDIRECT("'"&amp;C$1&amp;"'!A:A"), INDIRECT("'"&amp;C$1&amp;"'!B:B"), "")-AVERAGE(INDIRECT("'"&amp;C$1&amp;"'!B2:B")))/STDEV(INDIRECT("'"&amp;C$1&amp;"'!B2:B"))</f>
        <v>-0.4976226162</v>
      </c>
      <c r="D39" s="3">
        <f t="shared" si="39"/>
        <v>0.02442132941</v>
      </c>
      <c r="E39" s="3">
        <f t="shared" si="39"/>
        <v>0.9452585176</v>
      </c>
      <c r="F39" s="3">
        <f t="shared" si="39"/>
        <v>0.382877705</v>
      </c>
      <c r="G39" s="3">
        <f t="shared" si="39"/>
        <v>0.5521673277</v>
      </c>
      <c r="H39" s="3">
        <f t="shared" si="39"/>
        <v>0.2115807961</v>
      </c>
    </row>
    <row r="40">
      <c r="A40" s="8" t="str">
        <f>'Récap'!A40</f>
        <v>c38594bec27d288cfe5bd031cde0cff4c46de188336f74ff3f79854c88c65b00</v>
      </c>
      <c r="B40" s="3">
        <f t="shared" si="3"/>
        <v>-0.7866464699</v>
      </c>
      <c r="C40" s="3">
        <f t="shared" ref="C40:H40" si="40">(XLOOKUP($A40, INDIRECT("'"&amp;C$1&amp;"'!A:A"), INDIRECT("'"&amp;C$1&amp;"'!B:B"), "")-AVERAGE(INDIRECT("'"&amp;C$1&amp;"'!B2:B")))/STDEV(INDIRECT("'"&amp;C$1&amp;"'!B2:B"))</f>
        <v>-0.835347927</v>
      </c>
      <c r="D40" s="3">
        <f t="shared" si="40"/>
        <v>-0.2578605075</v>
      </c>
      <c r="E40" s="3">
        <f t="shared" si="40"/>
        <v>0.9452585176</v>
      </c>
      <c r="F40" s="3">
        <f t="shared" si="40"/>
        <v>0.3331690884</v>
      </c>
      <c r="G40" s="3">
        <f t="shared" si="40"/>
        <v>1.007758087</v>
      </c>
      <c r="H40" s="3">
        <f t="shared" si="40"/>
        <v>0.2032067984</v>
      </c>
    </row>
    <row r="41">
      <c r="A41" s="8" t="str">
        <f>'Récap'!A41</f>
        <v>5d60fc4768a0d01e3d533d2d5353bdffb58877bc2971bc7053a54071fa4c2f49</v>
      </c>
      <c r="B41" s="3">
        <f t="shared" si="3"/>
        <v>-0.3716167706</v>
      </c>
      <c r="C41" s="3">
        <f t="shared" ref="C41:H41" si="41">(XLOOKUP($A41, INDIRECT("'"&amp;C$1&amp;"'!A:A"), INDIRECT("'"&amp;C$1&amp;"'!B:B"), "")-AVERAGE(INDIRECT("'"&amp;C$1&amp;"'!B2:B")))/STDEV(INDIRECT("'"&amp;C$1&amp;"'!B2:B"))</f>
        <v>-0.4483710069</v>
      </c>
      <c r="D41" s="3">
        <f t="shared" si="41"/>
        <v>1.153548677</v>
      </c>
      <c r="E41" s="3">
        <f t="shared" si="41"/>
        <v>0.9452585176</v>
      </c>
      <c r="F41" s="3">
        <f t="shared" si="41"/>
        <v>0.07468428198</v>
      </c>
      <c r="G41" s="3">
        <f t="shared" si="41"/>
        <v>-0.1312188117</v>
      </c>
      <c r="H41" s="3">
        <f t="shared" si="41"/>
        <v>0.1949857803</v>
      </c>
    </row>
    <row r="42">
      <c r="A42" s="8" t="str">
        <f>'Récap'!A42</f>
        <v>753b3dfbf00b265816877af61db67c39ee3fae2b4e0a7b8f387b5163ff85b1bc</v>
      </c>
      <c r="B42" s="3">
        <f t="shared" si="3"/>
        <v>-1.226089681</v>
      </c>
      <c r="C42" s="3">
        <f t="shared" ref="C42:H42" si="42">(XLOOKUP($A42, INDIRECT("'"&amp;C$1&amp;"'!A:A"), INDIRECT("'"&amp;C$1&amp;"'!B:B"), "")-AVERAGE(INDIRECT("'"&amp;C$1&amp;"'!B2:B")))/STDEV(INDIRECT("'"&amp;C$1&amp;"'!B2:B"))</f>
        <v>-1.088641892</v>
      </c>
      <c r="D42" s="3">
        <f t="shared" si="42"/>
        <v>-0.3519544532</v>
      </c>
      <c r="E42" s="3">
        <f t="shared" si="42"/>
        <v>1.876302621</v>
      </c>
      <c r="F42" s="3">
        <f t="shared" si="42"/>
        <v>0.5485730937</v>
      </c>
      <c r="G42" s="3">
        <f t="shared" si="42"/>
        <v>2.260632676</v>
      </c>
      <c r="H42" s="3">
        <f t="shared" si="42"/>
        <v>0.1845699484</v>
      </c>
    </row>
    <row r="43">
      <c r="A43" s="8" t="str">
        <f>'Récap'!A43</f>
        <v>ca1b7797566e850c3e583a2fbda610a51d5504ca9b0d611a0a3e2770c912d52d</v>
      </c>
      <c r="B43" s="3">
        <f t="shared" si="3"/>
        <v>0.05561968455</v>
      </c>
      <c r="C43" s="3">
        <f t="shared" ref="C43:H43" si="43">(XLOOKUP($A43, INDIRECT("'"&amp;C$1&amp;"'!A:A"), INDIRECT("'"&amp;C$1&amp;"'!B:B"), "")-AVERAGE(INDIRECT("'"&amp;C$1&amp;"'!B2:B")))/STDEV(INDIRECT("'"&amp;C$1&amp;"'!B2:B"))</f>
        <v>-0.02973238099</v>
      </c>
      <c r="D43" s="3">
        <f t="shared" si="43"/>
        <v>0.4948910577</v>
      </c>
      <c r="E43" s="3">
        <f t="shared" si="43"/>
        <v>0.0142144138</v>
      </c>
      <c r="F43" s="3">
        <f t="shared" si="43"/>
        <v>0.1895664182</v>
      </c>
      <c r="G43" s="3">
        <f t="shared" si="43"/>
        <v>-0.3322147351</v>
      </c>
      <c r="H43" s="3">
        <f t="shared" si="43"/>
        <v>0.1644626129</v>
      </c>
    </row>
    <row r="44">
      <c r="A44" s="8" t="str">
        <f>'Récap'!A44</f>
        <v>b2739ffce4a91e9880373035f1a135a3772577ebe8a9e985482de17ccedccefd</v>
      </c>
      <c r="B44" s="3">
        <f t="shared" si="3"/>
        <v>0.09223995213</v>
      </c>
      <c r="C44" s="3">
        <f t="shared" ref="C44:H44" si="44">(XLOOKUP($A44, INDIRECT("'"&amp;C$1&amp;"'!A:A"), INDIRECT("'"&amp;C$1&amp;"'!B:B"), "")-AVERAGE(INDIRECT("'"&amp;C$1&amp;"'!B2:B")))/STDEV(INDIRECT("'"&amp;C$1&amp;"'!B2:B"))</f>
        <v>-0.3287599962</v>
      </c>
      <c r="D44" s="3">
        <f t="shared" si="44"/>
        <v>-0.06967261625</v>
      </c>
      <c r="E44" s="3">
        <f t="shared" si="44"/>
        <v>1.876302621</v>
      </c>
      <c r="F44" s="3">
        <f t="shared" si="44"/>
        <v>0.01006308038</v>
      </c>
      <c r="G44" s="3">
        <f t="shared" si="44"/>
        <v>1.421931505</v>
      </c>
      <c r="H44" s="3">
        <f t="shared" si="44"/>
        <v>0.1331424408</v>
      </c>
    </row>
    <row r="45">
      <c r="A45" s="8" t="str">
        <f>'Récap'!A45</f>
        <v>89b998636f98304acf1f5a475b5fad130ac8020d521969a48412173d2ac0971f</v>
      </c>
      <c r="B45" s="3">
        <f t="shared" si="3"/>
        <v>0.3119615576</v>
      </c>
      <c r="C45" s="3">
        <f t="shared" ref="C45:H45" si="45">(XLOOKUP($A45, INDIRECT("'"&amp;C$1&amp;"'!A:A"), INDIRECT("'"&amp;C$1&amp;"'!B:B"), "")-AVERAGE(INDIRECT("'"&amp;C$1&amp;"'!B2:B")))/STDEV(INDIRECT("'"&amp;C$1&amp;"'!B2:B"))</f>
        <v>-0.2021129958</v>
      </c>
      <c r="D45" s="3">
        <f t="shared" si="45"/>
        <v>-0.8224241815</v>
      </c>
      <c r="E45" s="3">
        <f t="shared" si="45"/>
        <v>-0.91682969</v>
      </c>
      <c r="F45" s="3">
        <f t="shared" si="45"/>
        <v>0.01006308038</v>
      </c>
      <c r="G45" s="3">
        <f t="shared" si="45"/>
        <v>-0.8146049511</v>
      </c>
      <c r="H45" s="3">
        <f t="shared" si="45"/>
        <v>0.1249534932</v>
      </c>
    </row>
    <row r="46">
      <c r="A46" s="8" t="str">
        <f>'Récap'!A46</f>
        <v>bd41cbdc04707f80b319802470a1871b99d36766f9d020cc0f9a569a4d1bb54b</v>
      </c>
      <c r="B46" s="3">
        <f t="shared" si="3"/>
        <v>-0.2007221885</v>
      </c>
      <c r="C46" s="3">
        <f t="shared" ref="C46:H46" si="46">(XLOOKUP($A46, INDIRECT("'"&amp;C$1&amp;"'!A:A"), INDIRECT("'"&amp;C$1&amp;"'!B:B"), "")-AVERAGE(INDIRECT("'"&amp;C$1&amp;"'!B2:B")))/STDEV(INDIRECT("'"&amp;C$1&amp;"'!B2:B"))</f>
        <v>-0.4976226162</v>
      </c>
      <c r="D46" s="3">
        <f t="shared" si="46"/>
        <v>-0.8224241815</v>
      </c>
      <c r="E46" s="3">
        <f t="shared" si="46"/>
        <v>-0.91682969</v>
      </c>
      <c r="F46" s="3">
        <f t="shared" si="46"/>
        <v>0.01006308038</v>
      </c>
      <c r="G46" s="3">
        <f t="shared" si="46"/>
        <v>-0.8146049511</v>
      </c>
      <c r="H46" s="3">
        <f t="shared" si="46"/>
        <v>0.1217791306</v>
      </c>
    </row>
    <row r="47">
      <c r="A47" s="8" t="str">
        <f>'Récap'!A47</f>
        <v>cec0a384f41fb2446aff0043657c7e32479dd58e701084dde0bcc28f161aa2b1</v>
      </c>
      <c r="B47" s="3">
        <f t="shared" si="3"/>
        <v>-0.3871526417</v>
      </c>
      <c r="C47" s="3">
        <f t="shared" ref="C47:H47" si="47">(XLOOKUP($A47, INDIRECT("'"&amp;C$1&amp;"'!A:A"), INDIRECT("'"&amp;C$1&amp;"'!B:B"), "")-AVERAGE(INDIRECT("'"&amp;C$1&amp;"'!B2:B")))/STDEV(INDIRECT("'"&amp;C$1&amp;"'!B2:B"))</f>
        <v>-0.4976226162</v>
      </c>
      <c r="D47" s="3">
        <f t="shared" si="47"/>
        <v>0.3067031664</v>
      </c>
      <c r="E47" s="3">
        <f t="shared" si="47"/>
        <v>1.876302621</v>
      </c>
      <c r="F47" s="3">
        <f t="shared" si="47"/>
        <v>0.4139455904</v>
      </c>
      <c r="G47" s="3">
        <f t="shared" si="47"/>
        <v>0.8255217834</v>
      </c>
      <c r="H47" s="3">
        <f t="shared" si="47"/>
        <v>0.09672585493</v>
      </c>
    </row>
    <row r="48">
      <c r="A48" s="8" t="str">
        <f>'Récap'!A48</f>
        <v>48002b47ecdcaeb4828400130c7d77959319f9ae612dfbd03a91f7422c093ac7</v>
      </c>
      <c r="B48" s="3">
        <f t="shared" si="3"/>
        <v>-0.4570640616</v>
      </c>
      <c r="C48" s="3">
        <f t="shared" ref="C48:H48" si="48">(XLOOKUP($A48, INDIRECT("'"&amp;C$1&amp;"'!A:A"), INDIRECT("'"&amp;C$1&amp;"'!B:B"), "")-AVERAGE(INDIRECT("'"&amp;C$1&amp;"'!B2:B")))/STDEV(INDIRECT("'"&amp;C$1&amp;"'!B2:B"))</f>
        <v>-0.6453774441</v>
      </c>
      <c r="D48" s="3">
        <f t="shared" si="48"/>
        <v>-0.5401423445</v>
      </c>
      <c r="E48" s="3">
        <f t="shared" si="48"/>
        <v>0.9452585176</v>
      </c>
      <c r="F48" s="3">
        <f t="shared" si="48"/>
        <v>0.2408530861</v>
      </c>
      <c r="G48" s="3">
        <f t="shared" si="48"/>
        <v>1.918939606</v>
      </c>
      <c r="H48" s="3">
        <f t="shared" si="48"/>
        <v>0.09264313064</v>
      </c>
    </row>
    <row r="49">
      <c r="A49" s="8" t="str">
        <f>'Récap'!A49</f>
        <v>d87811d4a1e9ba86c382fda19de6f7d1ad04b42f8c0dceeb81cd7cafc1008ed8</v>
      </c>
      <c r="B49" s="3">
        <f t="shared" si="3"/>
        <v>-0.2473298018</v>
      </c>
      <c r="C49" s="3">
        <f t="shared" ref="C49:H49" si="49">(XLOOKUP($A49, INDIRECT("'"&amp;C$1&amp;"'!A:A"), INDIRECT("'"&amp;C$1&amp;"'!B:B"), "")-AVERAGE(INDIRECT("'"&amp;C$1&amp;"'!B2:B")))/STDEV(INDIRECT("'"&amp;C$1&amp;"'!B2:B"))</f>
        <v>-0.1790862588</v>
      </c>
      <c r="D49" s="3">
        <f t="shared" si="49"/>
        <v>1.059454732</v>
      </c>
      <c r="E49" s="3">
        <f t="shared" si="49"/>
        <v>0.9452585176</v>
      </c>
      <c r="F49" s="3">
        <f t="shared" si="49"/>
        <v>0.279318087</v>
      </c>
      <c r="G49" s="3">
        <f t="shared" si="49"/>
        <v>-0.1015063709</v>
      </c>
      <c r="H49" s="3">
        <f t="shared" si="49"/>
        <v>0.08863384526</v>
      </c>
    </row>
    <row r="50">
      <c r="A50" s="8" t="str">
        <f>'Récap'!A50</f>
        <v>a1437f4d7c5982c950cc3bb1cfab162aa1470eb7263b45d865b404015088558b</v>
      </c>
      <c r="B50" s="3">
        <f t="shared" si="3"/>
        <v>-1.226089681</v>
      </c>
      <c r="C50" s="3">
        <f t="shared" ref="C50:H50" si="50">(XLOOKUP($A50, INDIRECT("'"&amp;C$1&amp;"'!A:A"), INDIRECT("'"&amp;C$1&amp;"'!B:B"), "")-AVERAGE(INDIRECT("'"&amp;C$1&amp;"'!B2:B")))/STDEV(INDIRECT("'"&amp;C$1&amp;"'!B2:B"))</f>
        <v>-1.088641892</v>
      </c>
      <c r="D50" s="3">
        <f t="shared" si="50"/>
        <v>-0.8224241815</v>
      </c>
      <c r="E50" s="3">
        <f t="shared" si="50"/>
        <v>0.0142144138</v>
      </c>
      <c r="F50" s="3">
        <f t="shared" si="50"/>
        <v>0.8178281003</v>
      </c>
      <c r="G50" s="3">
        <f t="shared" si="50"/>
        <v>1.918939606</v>
      </c>
      <c r="H50" s="3">
        <f t="shared" si="50"/>
        <v>0.08368133109</v>
      </c>
    </row>
    <row r="51">
      <c r="A51" s="8" t="str">
        <f>'Récap'!A51</f>
        <v>098d08de95d38eeec0842ad11e1e98d03c5afff456588f8ec0e9b2842aae39a3</v>
      </c>
      <c r="B51" s="3">
        <f t="shared" si="3"/>
        <v>-1.226089681</v>
      </c>
      <c r="C51" s="3">
        <f t="shared" ref="C51:H51" si="51">(XLOOKUP($A51, INDIRECT("'"&amp;C$1&amp;"'!A:A"), INDIRECT("'"&amp;C$1&amp;"'!B:B"), "")-AVERAGE(INDIRECT("'"&amp;C$1&amp;"'!B2:B")))/STDEV(INDIRECT("'"&amp;C$1&amp;"'!B2:B"))</f>
        <v>-1.088641892</v>
      </c>
      <c r="D51" s="3">
        <f t="shared" si="51"/>
        <v>-0.8224241815</v>
      </c>
      <c r="E51" s="3">
        <f t="shared" si="51"/>
        <v>0.0142144138</v>
      </c>
      <c r="F51" s="3">
        <f t="shared" si="51"/>
        <v>0.8178281003</v>
      </c>
      <c r="G51" s="3">
        <f t="shared" si="51"/>
        <v>1.918939606</v>
      </c>
      <c r="H51" s="3">
        <f t="shared" si="51"/>
        <v>0.07707745826</v>
      </c>
    </row>
    <row r="52">
      <c r="A52" s="8" t="str">
        <f>'Récap'!A52</f>
        <v>453482ae02a485dd6eda2426eae4181835e1451a36229f550d4efb9d8a7a9470</v>
      </c>
      <c r="B52" s="3">
        <f t="shared" si="3"/>
        <v>-0.6108691855</v>
      </c>
      <c r="C52" s="3">
        <f t="shared" ref="C52:H52" si="52">(XLOOKUP($A52, INDIRECT("'"&amp;C$1&amp;"'!A:A"), INDIRECT("'"&amp;C$1&amp;"'!B:B"), "")-AVERAGE(INDIRECT("'"&amp;C$1&amp;"'!B2:B")))/STDEV(INDIRECT("'"&amp;C$1&amp;"'!B2:B"))</f>
        <v>-0.7340303338</v>
      </c>
      <c r="D52" s="3">
        <f t="shared" si="52"/>
        <v>-0.6342362901</v>
      </c>
      <c r="E52" s="3">
        <f t="shared" si="52"/>
        <v>-0.91682969</v>
      </c>
      <c r="F52" s="3">
        <f t="shared" si="52"/>
        <v>0.5485730937</v>
      </c>
      <c r="G52" s="3">
        <f t="shared" si="52"/>
        <v>-0.8146049511</v>
      </c>
      <c r="H52" s="3">
        <f t="shared" si="52"/>
        <v>0.04075751972</v>
      </c>
    </row>
    <row r="53">
      <c r="A53" s="8" t="str">
        <f>'Récap'!A53</f>
        <v>53b87d41de61b0eb5ef6562222f1f3bcd5b5ce1da053e57f47b6ed23d7aa8502</v>
      </c>
      <c r="B53" s="3">
        <f t="shared" si="3"/>
        <v>0.5580497558</v>
      </c>
      <c r="C53" s="3">
        <f t="shared" ref="C53:H53" si="53">(XLOOKUP($A53, INDIRECT("'"&amp;C$1&amp;"'!A:A"), INDIRECT("'"&amp;C$1&amp;"'!B:B"), "")-AVERAGE(INDIRECT("'"&amp;C$1&amp;"'!B2:B")))/STDEV(INDIRECT("'"&amp;C$1&amp;"'!B2:B"))</f>
        <v>0.7502056711</v>
      </c>
      <c r="D53" s="3">
        <f t="shared" si="53"/>
        <v>4.446836775</v>
      </c>
      <c r="E53" s="3">
        <f t="shared" si="53"/>
        <v>0.0142144138</v>
      </c>
      <c r="F53" s="3">
        <f t="shared" si="53"/>
        <v>-0.2053409249</v>
      </c>
      <c r="G53" s="3">
        <f t="shared" si="53"/>
        <v>-0.67561116</v>
      </c>
      <c r="H53" s="3">
        <f t="shared" si="53"/>
        <v>0.03513653707</v>
      </c>
    </row>
    <row r="54">
      <c r="A54" s="8" t="str">
        <f>'Récap'!A54</f>
        <v>438f91a3a02080977006d5b4ee2c29f6e0d0b58e848dc92712f3982a1449f481</v>
      </c>
      <c r="B54" s="3">
        <f t="shared" si="3"/>
        <v>-1.226089681</v>
      </c>
      <c r="C54" s="3">
        <f t="shared" ref="C54:H54" si="54">(XLOOKUP($A54, INDIRECT("'"&amp;C$1&amp;"'!A:A"), INDIRECT("'"&amp;C$1&amp;"'!B:B"), "")-AVERAGE(INDIRECT("'"&amp;C$1&amp;"'!B2:B")))/STDEV(INDIRECT("'"&amp;C$1&amp;"'!B2:B"))</f>
        <v>-1.088641892</v>
      </c>
      <c r="D54" s="3">
        <f t="shared" si="54"/>
        <v>-0.6342362901</v>
      </c>
      <c r="E54" s="3">
        <f t="shared" si="54"/>
        <v>-0.91682969</v>
      </c>
      <c r="F54" s="3">
        <f t="shared" si="54"/>
        <v>0.5485730937</v>
      </c>
      <c r="G54" s="3">
        <f t="shared" si="54"/>
        <v>-0.8146049511</v>
      </c>
      <c r="H54" s="3">
        <f t="shared" si="54"/>
        <v>0.02865088565</v>
      </c>
    </row>
    <row r="55">
      <c r="A55" s="8" t="str">
        <f>'Récap'!A55</f>
        <v>23d73ca299f02110f10fe0b18902fd2ea5ad124d3a061f110083353b3899c369</v>
      </c>
      <c r="B55" s="3">
        <f t="shared" si="3"/>
        <v>-0.3472032589</v>
      </c>
      <c r="C55" s="3">
        <f t="shared" ref="C55:H55" si="55">(XLOOKUP($A55, INDIRECT("'"&amp;C$1&amp;"'!A:A"), INDIRECT("'"&amp;C$1&amp;"'!B:B"), "")-AVERAGE(INDIRECT("'"&amp;C$1&amp;"'!B2:B")))/STDEV(INDIRECT("'"&amp;C$1&amp;"'!B2:B"))</f>
        <v>-0.4976226162</v>
      </c>
      <c r="D55" s="3">
        <f t="shared" si="55"/>
        <v>0.4948910577</v>
      </c>
      <c r="E55" s="3">
        <f t="shared" si="55"/>
        <v>0.9452585176</v>
      </c>
      <c r="F55" s="3">
        <f t="shared" si="55"/>
        <v>0.1895664182</v>
      </c>
      <c r="G55" s="3">
        <f t="shared" si="55"/>
        <v>0.150175481</v>
      </c>
      <c r="H55" s="3">
        <f t="shared" si="55"/>
        <v>0.01856200576</v>
      </c>
    </row>
    <row r="56">
      <c r="A56" s="8" t="str">
        <f>'Récap'!A56</f>
        <v>6b689d246c11ea35bf66a151aa4d7d83d1e1b11f9f3a3876c5d609048ea310f8</v>
      </c>
      <c r="B56" s="3">
        <f t="shared" si="3"/>
        <v>-0.4570640616</v>
      </c>
      <c r="C56" s="3">
        <f t="shared" ref="C56:H56" si="56">(XLOOKUP($A56, INDIRECT("'"&amp;C$1&amp;"'!A:A"), INDIRECT("'"&amp;C$1&amp;"'!B:B"), "")-AVERAGE(INDIRECT("'"&amp;C$1&amp;"'!B2:B")))/STDEV(INDIRECT("'"&amp;C$1&amp;"'!B2:B"))</f>
        <v>-0.6453774441</v>
      </c>
      <c r="D56" s="3">
        <f t="shared" si="56"/>
        <v>-0.1637665619</v>
      </c>
      <c r="E56" s="3">
        <f t="shared" si="56"/>
        <v>0.0142144138</v>
      </c>
      <c r="F56" s="3">
        <f t="shared" si="56"/>
        <v>0.1569294476</v>
      </c>
      <c r="G56" s="3">
        <f t="shared" si="56"/>
        <v>0.005458416167</v>
      </c>
      <c r="H56" s="3">
        <f t="shared" si="56"/>
        <v>0.001135771888</v>
      </c>
    </row>
    <row r="57">
      <c r="A57" s="8" t="str">
        <f>'Récap'!A57</f>
        <v>5c075290e921279538ad0cbf9786e8855bd2c7f97a066c94d059d313cb34273b</v>
      </c>
      <c r="B57" s="3">
        <f t="shared" si="3"/>
        <v>-0.6493204664</v>
      </c>
      <c r="C57" s="3">
        <f t="shared" ref="C57:H57" si="57">(XLOOKUP($A57, INDIRECT("'"&amp;C$1&amp;"'!A:A"), INDIRECT("'"&amp;C$1&amp;"'!B:B"), "")-AVERAGE(INDIRECT("'"&amp;C$1&amp;"'!B2:B")))/STDEV(INDIRECT("'"&amp;C$1&amp;"'!B2:B"))</f>
        <v>-0.5899693881</v>
      </c>
      <c r="D57" s="3">
        <f t="shared" si="57"/>
        <v>0.9653607859</v>
      </c>
      <c r="E57" s="3">
        <f t="shared" si="57"/>
        <v>1.876302621</v>
      </c>
      <c r="F57" s="3">
        <f t="shared" si="57"/>
        <v>0.2207843899</v>
      </c>
      <c r="G57" s="3">
        <f t="shared" si="57"/>
        <v>0.303663277</v>
      </c>
      <c r="H57" s="3">
        <f t="shared" si="57"/>
        <v>-0.0130542465</v>
      </c>
    </row>
    <row r="58">
      <c r="A58" s="8" t="str">
        <f>'Récap'!A58</f>
        <v>d9381190f981d16a88149206249465bb181ce58d6359562dea944f4d477363e3</v>
      </c>
      <c r="B58" s="3">
        <f t="shared" si="3"/>
        <v>-0.4570640616</v>
      </c>
      <c r="C58" s="3">
        <f t="shared" ref="C58:H58" si="58">(XLOOKUP($A58, INDIRECT("'"&amp;C$1&amp;"'!A:A"), INDIRECT("'"&amp;C$1&amp;"'!B:B"), "")-AVERAGE(INDIRECT("'"&amp;C$1&amp;"'!B2:B")))/STDEV(INDIRECT("'"&amp;C$1&amp;"'!B2:B"))</f>
        <v>-0.6453774441</v>
      </c>
      <c r="D58" s="3">
        <f t="shared" si="58"/>
        <v>-0.06967261625</v>
      </c>
      <c r="E58" s="3">
        <f t="shared" si="58"/>
        <v>-0.91682969</v>
      </c>
      <c r="F58" s="3">
        <f t="shared" si="58"/>
        <v>-0.2591919263</v>
      </c>
      <c r="G58" s="3">
        <f t="shared" si="58"/>
        <v>-0.8146049511</v>
      </c>
      <c r="H58" s="3">
        <f t="shared" si="58"/>
        <v>-0.01977572329</v>
      </c>
    </row>
    <row r="59">
      <c r="A59" s="8" t="str">
        <f>'Récap'!A59</f>
        <v>cf13a4b65841c7dceb8412708517c5be0cdedb328ac511655c4a95ee813d548b</v>
      </c>
      <c r="B59" s="3">
        <f t="shared" si="3"/>
        <v>0.3119615576</v>
      </c>
      <c r="C59" s="3">
        <f t="shared" ref="C59:H59" si="59">(XLOOKUP($A59, INDIRECT("'"&amp;C$1&amp;"'!A:A"), INDIRECT("'"&amp;C$1&amp;"'!B:B"), "")-AVERAGE(INDIRECT("'"&amp;C$1&amp;"'!B2:B")))/STDEV(INDIRECT("'"&amp;C$1&amp;"'!B2:B"))</f>
        <v>0.09339662454</v>
      </c>
      <c r="D59" s="3">
        <f t="shared" si="59"/>
        <v>-0.7283302358</v>
      </c>
      <c r="E59" s="3">
        <f t="shared" si="59"/>
        <v>-0.91682969</v>
      </c>
      <c r="F59" s="3">
        <f t="shared" si="59"/>
        <v>-0.3130429276</v>
      </c>
      <c r="G59" s="3">
        <f t="shared" si="59"/>
        <v>-0.8146049511</v>
      </c>
      <c r="H59" s="3">
        <f t="shared" si="59"/>
        <v>-0.03188235736</v>
      </c>
    </row>
    <row r="60">
      <c r="A60" s="8" t="str">
        <f>'Récap'!A60</f>
        <v>351cff49ce968bd6bb542470c3004131a5042932b5f2cb0e7ea8492770b77485</v>
      </c>
      <c r="B60" s="3">
        <f t="shared" si="3"/>
        <v>-0.2007221885</v>
      </c>
      <c r="C60" s="3">
        <f t="shared" ref="C60:H60" si="60">(XLOOKUP($A60, INDIRECT("'"&amp;C$1&amp;"'!A:A"), INDIRECT("'"&amp;C$1&amp;"'!B:B"), "")-AVERAGE(INDIRECT("'"&amp;C$1&amp;"'!B2:B")))/STDEV(INDIRECT("'"&amp;C$1&amp;"'!B2:B"))</f>
        <v>-0.4976226162</v>
      </c>
      <c r="D60" s="3">
        <f t="shared" si="60"/>
        <v>-0.7283302358</v>
      </c>
      <c r="E60" s="3">
        <f t="shared" si="60"/>
        <v>0.0142144138</v>
      </c>
      <c r="F60" s="3">
        <f t="shared" si="60"/>
        <v>-0.3130429276</v>
      </c>
      <c r="G60" s="3">
        <f t="shared" si="60"/>
        <v>1.235553467</v>
      </c>
      <c r="H60" s="3">
        <f t="shared" si="60"/>
        <v>-0.03188235736</v>
      </c>
    </row>
    <row r="61">
      <c r="A61" s="8" t="str">
        <f>'Récap'!A61</f>
        <v>6d7f68c6bb26c8342bf3a3e21bb30c4a24aa6ccd9d3319af32684e6641052dcd</v>
      </c>
      <c r="B61" s="3">
        <f t="shared" si="3"/>
        <v>-0.2007221885</v>
      </c>
      <c r="C61" s="3">
        <f t="shared" ref="C61:H61" si="61">(XLOOKUP($A61, INDIRECT("'"&amp;C$1&amp;"'!A:A"), INDIRECT("'"&amp;C$1&amp;"'!B:B"), "")-AVERAGE(INDIRECT("'"&amp;C$1&amp;"'!B2:B")))/STDEV(INDIRECT("'"&amp;C$1&amp;"'!B2:B"))</f>
        <v>-0.4976226162</v>
      </c>
      <c r="D61" s="3">
        <f t="shared" si="61"/>
        <v>-0.5401423445</v>
      </c>
      <c r="E61" s="3">
        <f t="shared" si="61"/>
        <v>-0.91682969</v>
      </c>
      <c r="F61" s="3">
        <f t="shared" si="61"/>
        <v>-0.2207269253</v>
      </c>
      <c r="G61" s="3">
        <f t="shared" si="61"/>
        <v>-0.8146049511</v>
      </c>
      <c r="H61" s="3">
        <f t="shared" si="61"/>
        <v>-0.03929474834</v>
      </c>
    </row>
    <row r="62">
      <c r="A62" s="8" t="str">
        <f>'Récap'!A62</f>
        <v>4225b96eae6636e51ed4b87746263b9e5d0e927d67326324fbf1544230fa6fb8</v>
      </c>
      <c r="B62" s="3">
        <f t="shared" si="3"/>
        <v>-0.6108691855</v>
      </c>
      <c r="C62" s="3">
        <f t="shared" ref="C62:H62" si="62">(XLOOKUP($A62, INDIRECT("'"&amp;C$1&amp;"'!A:A"), INDIRECT("'"&amp;C$1&amp;"'!B:B"), "")-AVERAGE(INDIRECT("'"&amp;C$1&amp;"'!B2:B")))/STDEV(INDIRECT("'"&amp;C$1&amp;"'!B2:B"))</f>
        <v>-0.7340303338</v>
      </c>
      <c r="D62" s="3">
        <f t="shared" si="62"/>
        <v>-0.6342362901</v>
      </c>
      <c r="E62" s="3">
        <f t="shared" si="62"/>
        <v>-0.91682969</v>
      </c>
      <c r="F62" s="3">
        <f t="shared" si="62"/>
        <v>0.5485730937</v>
      </c>
      <c r="G62" s="3">
        <f t="shared" si="62"/>
        <v>-0.8146049511</v>
      </c>
      <c r="H62" s="3">
        <f t="shared" si="62"/>
        <v>-0.08140884299</v>
      </c>
    </row>
    <row r="63">
      <c r="A63" s="8" t="str">
        <f>'Récap'!A63</f>
        <v>23e416c6f9deb987ac8f8f136e8551133ba63c734122e2f82eaeec72b03bad9e</v>
      </c>
      <c r="B63" s="3">
        <f t="shared" si="3"/>
        <v>0.4401324942</v>
      </c>
      <c r="C63" s="3">
        <f t="shared" ref="C63:H63" si="63">(XLOOKUP($A63, INDIRECT("'"&amp;C$1&amp;"'!A:A"), INDIRECT("'"&amp;C$1&amp;"'!B:B"), "")-AVERAGE(INDIRECT("'"&amp;C$1&amp;"'!B2:B")))/STDEV(INDIRECT("'"&amp;C$1&amp;"'!B2:B"))</f>
        <v>0.5489740017</v>
      </c>
      <c r="D63" s="3">
        <f t="shared" si="63"/>
        <v>1.812206297</v>
      </c>
      <c r="E63" s="3">
        <f t="shared" si="63"/>
        <v>0.0142144138</v>
      </c>
      <c r="F63" s="3">
        <f t="shared" si="63"/>
        <v>-0.3938194296</v>
      </c>
      <c r="G63" s="3">
        <f t="shared" si="63"/>
        <v>-0.550068381</v>
      </c>
      <c r="H63" s="3">
        <f t="shared" si="63"/>
        <v>-0.1915929311</v>
      </c>
    </row>
    <row r="64">
      <c r="A64" s="8" t="str">
        <f>'Récap'!A64</f>
        <v>d46637522853433efdf1806e2e5336c312d5ba0ff0a32b80468e96b8abf11c04</v>
      </c>
      <c r="B64" s="3">
        <f t="shared" si="3"/>
        <v>0.764329569</v>
      </c>
      <c r="C64" s="3">
        <f t="shared" ref="C64:H64" si="64">(XLOOKUP($A64, INDIRECT("'"&amp;C$1&amp;"'!A:A"), INDIRECT("'"&amp;C$1&amp;"'!B:B"), "")-AVERAGE(INDIRECT("'"&amp;C$1&amp;"'!B2:B")))/STDEV(INDIRECT("'"&amp;C$1&amp;"'!B2:B"))</f>
        <v>1.014691355</v>
      </c>
      <c r="D64" s="3">
        <f t="shared" si="64"/>
        <v>0.8712668403</v>
      </c>
      <c r="E64" s="3">
        <f t="shared" si="64"/>
        <v>1.876302621</v>
      </c>
      <c r="F64" s="3">
        <f t="shared" si="64"/>
        <v>-0.2836696542</v>
      </c>
      <c r="G64" s="3">
        <f t="shared" si="64"/>
        <v>0.356914145</v>
      </c>
      <c r="H64" s="3">
        <f t="shared" si="64"/>
        <v>-0.2338611676</v>
      </c>
    </row>
    <row r="65">
      <c r="A65" s="8" t="str">
        <f>'Récap'!A65</f>
        <v>aff3f9448ca917cc6f9b0fa8f92a2dadcee4f890337259421ce866e71ff22c49</v>
      </c>
      <c r="B65" s="3">
        <f t="shared" si="3"/>
        <v>0.6964743673</v>
      </c>
      <c r="C65" s="3">
        <f t="shared" ref="C65:H65" si="65">(XLOOKUP($A65, INDIRECT("'"&amp;C$1&amp;"'!A:A"), INDIRECT("'"&amp;C$1&amp;"'!B:B"), "")-AVERAGE(INDIRECT("'"&amp;C$1&amp;"'!B2:B")))/STDEV(INDIRECT("'"&amp;C$1&amp;"'!B2:B"))</f>
        <v>0.758293297</v>
      </c>
      <c r="D65" s="3">
        <f t="shared" si="65"/>
        <v>-0.1637665619</v>
      </c>
      <c r="E65" s="3">
        <f t="shared" si="65"/>
        <v>0.0142144138</v>
      </c>
      <c r="F65" s="3">
        <f t="shared" si="65"/>
        <v>-0.4305360214</v>
      </c>
      <c r="G65" s="3">
        <f t="shared" si="65"/>
        <v>0.005458416167</v>
      </c>
      <c r="H65" s="3">
        <f t="shared" si="65"/>
        <v>-0.2582922827</v>
      </c>
    </row>
    <row r="66">
      <c r="A66" s="8" t="str">
        <f>'Récap'!A66</f>
        <v>33d11b837cec96010145671e6661210fd68f3004627f8929038256ca7a8d8ebf</v>
      </c>
      <c r="B66" s="3">
        <f t="shared" si="3"/>
        <v>-1.226089681</v>
      </c>
      <c r="C66" s="3">
        <f t="shared" ref="C66:H66" si="66">(XLOOKUP($A66, INDIRECT("'"&amp;C$1&amp;"'!A:A"), INDIRECT("'"&amp;C$1&amp;"'!B:B"), "")-AVERAGE(INDIRECT("'"&amp;C$1&amp;"'!B2:B")))/STDEV(INDIRECT("'"&amp;C$1&amp;"'!B2:B"))</f>
        <v>-1.088641892</v>
      </c>
      <c r="D66" s="3">
        <f t="shared" si="66"/>
        <v>-0.1637665619</v>
      </c>
      <c r="E66" s="3">
        <f t="shared" si="66"/>
        <v>0.0142144138</v>
      </c>
      <c r="F66" s="3">
        <f t="shared" si="66"/>
        <v>1.038127651</v>
      </c>
      <c r="G66" s="3">
        <f t="shared" si="66"/>
        <v>0.005458416167</v>
      </c>
      <c r="H66" s="3">
        <f t="shared" si="66"/>
        <v>-0.2594538307</v>
      </c>
    </row>
    <row r="67">
      <c r="A67" s="8" t="str">
        <f>'Récap'!A67</f>
        <v>95e604186e18386f749a6d26e0868477c65803267b7c4d7bf606f77b8bbe1da4</v>
      </c>
      <c r="B67" s="3">
        <f t="shared" si="3"/>
        <v>0.5548117532</v>
      </c>
      <c r="C67" s="3">
        <f t="shared" ref="C67:H67" si="67">(XLOOKUP($A67, INDIRECT("'"&amp;C$1&amp;"'!A:A"), INDIRECT("'"&amp;C$1&amp;"'!B:B"), "")-AVERAGE(INDIRECT("'"&amp;C$1&amp;"'!B2:B")))/STDEV(INDIRECT("'"&amp;C$1&amp;"'!B2:B"))</f>
        <v>0.6719733968</v>
      </c>
      <c r="D67" s="3">
        <f t="shared" si="67"/>
        <v>0.9653607859</v>
      </c>
      <c r="E67" s="3">
        <f t="shared" si="67"/>
        <v>0.9452585176</v>
      </c>
      <c r="F67" s="3">
        <f t="shared" si="67"/>
        <v>-0.3411391022</v>
      </c>
      <c r="G67" s="3">
        <f t="shared" si="67"/>
        <v>-0.06909279904</v>
      </c>
      <c r="H67" s="3">
        <f t="shared" si="67"/>
        <v>-0.3189698248</v>
      </c>
    </row>
    <row r="68">
      <c r="A68" s="8" t="str">
        <f>'Récap'!A68</f>
        <v>aa3e744d9ea1bfef5bac5c29b695be41bbe453b6bf59bb5ff04d04fe3ddb9b7e</v>
      </c>
      <c r="B68" s="3">
        <f t="shared" si="3"/>
        <v>-0.416589029</v>
      </c>
      <c r="C68" s="3">
        <f t="shared" ref="C68:H68" si="68">(XLOOKUP($A68, INDIRECT("'"&amp;C$1&amp;"'!A:A"), INDIRECT("'"&amp;C$1&amp;"'!B:B"), "")-AVERAGE(INDIRECT("'"&amp;C$1&amp;"'!B2:B")))/STDEV(INDIRECT("'"&amp;C$1&amp;"'!B2:B"))</f>
        <v>-0.3980825488</v>
      </c>
      <c r="D68" s="3">
        <f t="shared" si="68"/>
        <v>0.9653607859</v>
      </c>
      <c r="E68" s="3">
        <f t="shared" si="68"/>
        <v>1.876302621</v>
      </c>
      <c r="F68" s="3">
        <f t="shared" si="68"/>
        <v>0.0803035169</v>
      </c>
      <c r="G68" s="3">
        <f t="shared" si="68"/>
        <v>0.303663277</v>
      </c>
      <c r="H68" s="3">
        <f t="shared" si="68"/>
        <v>-0.3227512026</v>
      </c>
    </row>
    <row r="69">
      <c r="A69" s="8" t="str">
        <f>'Récap'!A69</f>
        <v>60dc13afd9db46855db7cb4b46b2429c473ae61d93c867bb13914cc0ee137a78</v>
      </c>
      <c r="B69" s="3">
        <f t="shared" si="3"/>
        <v>-1.055195099</v>
      </c>
      <c r="C69" s="3">
        <f t="shared" ref="C69:H69" si="69">(XLOOKUP($A69, INDIRECT("'"&amp;C$1&amp;"'!A:A"), INDIRECT("'"&amp;C$1&amp;"'!B:B"), "")-AVERAGE(INDIRECT("'"&amp;C$1&amp;"'!B2:B")))/STDEV(INDIRECT("'"&amp;C$1&amp;"'!B2:B"))</f>
        <v>-0.9901386738</v>
      </c>
      <c r="D69" s="3">
        <f t="shared" si="69"/>
        <v>0.7771728946</v>
      </c>
      <c r="E69" s="3">
        <f t="shared" si="69"/>
        <v>0.9452585176</v>
      </c>
      <c r="F69" s="3">
        <f t="shared" si="69"/>
        <v>1.010153105</v>
      </c>
      <c r="G69" s="3">
        <f t="shared" si="69"/>
        <v>0.005458416167</v>
      </c>
      <c r="H69" s="3">
        <f t="shared" si="69"/>
        <v>-0.3305953287</v>
      </c>
    </row>
    <row r="70">
      <c r="A70" s="8" t="str">
        <f>'Récap'!A70</f>
        <v>fa7805c1d46ef49851de43750a665a993eef750b560159967106d3b96821759c</v>
      </c>
      <c r="B70" s="3">
        <f t="shared" si="3"/>
        <v>0.3119615576</v>
      </c>
      <c r="C70" s="3">
        <f t="shared" ref="C70:H70" si="70">(XLOOKUP($A70, INDIRECT("'"&amp;C$1&amp;"'!A:A"), INDIRECT("'"&amp;C$1&amp;"'!B:B"), "")-AVERAGE(INDIRECT("'"&amp;C$1&amp;"'!B2:B")))/STDEV(INDIRECT("'"&amp;C$1&amp;"'!B2:B"))</f>
        <v>0.1180224469</v>
      </c>
      <c r="D70" s="3">
        <f t="shared" si="70"/>
        <v>0.400797112</v>
      </c>
      <c r="E70" s="3">
        <f t="shared" si="70"/>
        <v>0.0142144138</v>
      </c>
      <c r="F70" s="3">
        <f t="shared" si="70"/>
        <v>-0.2750304561</v>
      </c>
      <c r="G70" s="3">
        <f t="shared" si="70"/>
        <v>-0.3020653466</v>
      </c>
      <c r="H70" s="3">
        <f t="shared" si="70"/>
        <v>-0.3521761277</v>
      </c>
    </row>
    <row r="71">
      <c r="A71" s="8" t="str">
        <f>'Récap'!A71</f>
        <v>f8461dec16e4e6cc62d1cadd424373bdf634bdc01764d3df74cd9fff9658baff</v>
      </c>
      <c r="B71" s="3">
        <f t="shared" si="3"/>
        <v>0.7314300772</v>
      </c>
      <c r="C71" s="3">
        <f t="shared" ref="C71:H71" si="71">(XLOOKUP($A71, INDIRECT("'"&amp;C$1&amp;"'!A:A"), INDIRECT("'"&amp;C$1&amp;"'!B:B"), "")-AVERAGE(INDIRECT("'"&amp;C$1&amp;"'!B2:B")))/STDEV(INDIRECT("'"&amp;C$1&amp;"'!B2:B"))</f>
        <v>0.6859510142</v>
      </c>
      <c r="D71" s="3">
        <f t="shared" si="71"/>
        <v>1.52992446</v>
      </c>
      <c r="E71" s="3">
        <f t="shared" si="71"/>
        <v>-0.91682969</v>
      </c>
      <c r="F71" s="3">
        <f t="shared" si="71"/>
        <v>-0.4913083113</v>
      </c>
      <c r="G71" s="3">
        <f t="shared" si="71"/>
        <v>-0.8146049511</v>
      </c>
      <c r="H71" s="3">
        <f t="shared" si="71"/>
        <v>-0.4160459745</v>
      </c>
    </row>
    <row r="72">
      <c r="A72" s="8" t="str">
        <f>'Récap'!A72</f>
        <v>345dad5114b3cd453211fb2463b2677b927fb8bed5528f041e0451dfd0f2dca2</v>
      </c>
      <c r="B72" s="3">
        <f t="shared" si="3"/>
        <v>-0.4236281651</v>
      </c>
      <c r="C72" s="3">
        <f t="shared" ref="C72:H72" si="72">(XLOOKUP($A72, INDIRECT("'"&amp;C$1&amp;"'!A:A"), INDIRECT("'"&amp;C$1&amp;"'!B:B"), "")-AVERAGE(INDIRECT("'"&amp;C$1&amp;"'!B2:B")))/STDEV(INDIRECT("'"&amp;C$1&amp;"'!B2:B"))</f>
        <v>-0.3691401818</v>
      </c>
      <c r="D72" s="3">
        <f t="shared" si="72"/>
        <v>1.247642623</v>
      </c>
      <c r="E72" s="3">
        <f t="shared" si="72"/>
        <v>0.9452585176</v>
      </c>
      <c r="F72" s="3">
        <f t="shared" si="72"/>
        <v>0.2586061634</v>
      </c>
      <c r="G72" s="3">
        <f t="shared" si="72"/>
        <v>-0.1585542573</v>
      </c>
      <c r="H72" s="3">
        <f t="shared" si="72"/>
        <v>-0.4594489548</v>
      </c>
    </row>
    <row r="73">
      <c r="A73" s="8" t="str">
        <f>'Récap'!A73</f>
        <v>c8d01afd1e4a742fb48896441f92f6f4f1c21f02b0059b58f21e1c6efb099eb2</v>
      </c>
      <c r="B73" s="3">
        <f t="shared" si="3"/>
        <v>-0.04297334356</v>
      </c>
      <c r="C73" s="3">
        <f t="shared" ref="C73:H73" si="73">(XLOOKUP($A73, INDIRECT("'"&amp;C$1&amp;"'!A:A"), INDIRECT("'"&amp;C$1&amp;"'!B:B"), "")-AVERAGE(INDIRECT("'"&amp;C$1&amp;"'!B2:B")))/STDEV(INDIRECT("'"&amp;C$1&amp;"'!B2:B"))</f>
        <v>-0.04867530492</v>
      </c>
      <c r="D73" s="3">
        <f t="shared" si="73"/>
        <v>1.624018405</v>
      </c>
      <c r="E73" s="3">
        <f t="shared" si="73"/>
        <v>0.9452585176</v>
      </c>
      <c r="F73" s="3">
        <f t="shared" si="73"/>
        <v>-0.3130429276</v>
      </c>
      <c r="G73" s="3">
        <f t="shared" si="73"/>
        <v>-0.2490440082</v>
      </c>
      <c r="H73" s="3">
        <f t="shared" si="73"/>
        <v>-0.4957240382</v>
      </c>
    </row>
    <row r="74">
      <c r="A74" s="8" t="str">
        <f>'Récap'!A74</f>
        <v>48f565383f47c6752893810686bd0c5f07fef08e34bc22a3f398d3b8c8db7c43</v>
      </c>
      <c r="B74" s="3">
        <f t="shared" si="3"/>
        <v>0.9138076945</v>
      </c>
      <c r="C74" s="3">
        <f t="shared" ref="C74:H74" si="74">(XLOOKUP($A74, INDIRECT("'"&amp;C$1&amp;"'!A:A"), INDIRECT("'"&amp;C$1&amp;"'!B:B"), "")-AVERAGE(INDIRECT("'"&amp;C$1&amp;"'!B2:B")))/STDEV(INDIRECT("'"&amp;C$1&amp;"'!B2:B"))</f>
        <v>1.006233833</v>
      </c>
      <c r="D74" s="3">
        <f t="shared" si="74"/>
        <v>1.52992446</v>
      </c>
      <c r="E74" s="3">
        <f t="shared" si="74"/>
        <v>0.0142144138</v>
      </c>
      <c r="F74" s="3">
        <f t="shared" si="74"/>
        <v>-0.6027241761</v>
      </c>
      <c r="G74" s="3">
        <f t="shared" si="74"/>
        <v>-0.5217251771</v>
      </c>
      <c r="H74" s="3">
        <f t="shared" si="74"/>
        <v>-0.5028785576</v>
      </c>
    </row>
    <row r="75">
      <c r="A75" s="8" t="str">
        <f>'Récap'!A75</f>
        <v>f8dac969c272aabb2ba0adebac1b711f0f174a8288053069be5391c65bb027c3</v>
      </c>
      <c r="B75" s="3">
        <f t="shared" si="3"/>
        <v>0.8246453038</v>
      </c>
      <c r="C75" s="3">
        <f t="shared" ref="C75:H75" si="75">(XLOOKUP($A75, INDIRECT("'"&amp;C$1&amp;"'!A:A"), INDIRECT("'"&amp;C$1&amp;"'!B:B"), "")-AVERAGE(INDIRECT("'"&amp;C$1&amp;"'!B2:B")))/STDEV(INDIRECT("'"&amp;C$1&amp;"'!B2:B"))</f>
        <v>0.8438972719</v>
      </c>
      <c r="D75" s="3">
        <f t="shared" si="75"/>
        <v>0.9653607859</v>
      </c>
      <c r="E75" s="3">
        <f t="shared" si="75"/>
        <v>0.0142144138</v>
      </c>
      <c r="F75" s="3">
        <f t="shared" si="75"/>
        <v>-0.6221008483</v>
      </c>
      <c r="G75" s="3">
        <f t="shared" si="75"/>
        <v>-0.4418488751</v>
      </c>
      <c r="H75" s="3">
        <f t="shared" si="75"/>
        <v>-0.5045907885</v>
      </c>
    </row>
    <row r="76">
      <c r="A76" s="8" t="str">
        <f>'Récap'!A76</f>
        <v>bfe01fd74f4a333b18002bc2d02ce800bee2e244cc59a5156ca3fcc5a0cdce00</v>
      </c>
      <c r="B76" s="3">
        <f t="shared" si="3"/>
        <v>0.004351309931</v>
      </c>
      <c r="C76" s="3">
        <f t="shared" ref="C76:H76" si="76">(XLOOKUP($A76, INDIRECT("'"&amp;C$1&amp;"'!A:A"), INDIRECT("'"&amp;C$1&amp;"'!B:B"), "")-AVERAGE(INDIRECT("'"&amp;C$1&amp;"'!B2:B")))/STDEV(INDIRECT("'"&amp;C$1&amp;"'!B2:B"))</f>
        <v>-0.1430110576</v>
      </c>
      <c r="D76" s="3">
        <f t="shared" si="76"/>
        <v>-0.6342362901</v>
      </c>
      <c r="E76" s="3">
        <f t="shared" si="76"/>
        <v>-0.91682969</v>
      </c>
      <c r="F76" s="3">
        <f t="shared" si="76"/>
        <v>0.01006308038</v>
      </c>
      <c r="G76" s="3">
        <f t="shared" si="76"/>
        <v>-0.8146049511</v>
      </c>
      <c r="H76" s="3">
        <f t="shared" si="76"/>
        <v>-0.5403614969</v>
      </c>
    </row>
    <row r="77">
      <c r="A77" s="8" t="str">
        <f>'Récap'!A77</f>
        <v>125ae2e6409e498cf96017e4f7168a1612ea2f181a0ea99530cfafb7b3a64807</v>
      </c>
      <c r="B77" s="3">
        <f t="shared" si="3"/>
        <v>0.4144983069</v>
      </c>
      <c r="C77" s="3">
        <f t="shared" ref="C77:H77" si="77">(XLOOKUP($A77, INDIRECT("'"&amp;C$1&amp;"'!A:A"), INDIRECT("'"&amp;C$1&amp;"'!B:B"), "")-AVERAGE(INDIRECT("'"&amp;C$1&amp;"'!B2:B")))/STDEV(INDIRECT("'"&amp;C$1&amp;"'!B2:B"))</f>
        <v>0.4283075607</v>
      </c>
      <c r="D77" s="3">
        <f t="shared" si="77"/>
        <v>0.400797112</v>
      </c>
      <c r="E77" s="3">
        <f t="shared" si="77"/>
        <v>0.0142144138</v>
      </c>
      <c r="F77" s="3">
        <f t="shared" si="77"/>
        <v>-0.4650928137</v>
      </c>
      <c r="G77" s="3">
        <f t="shared" si="77"/>
        <v>-0.3020653466</v>
      </c>
      <c r="H77" s="3">
        <f t="shared" si="77"/>
        <v>-0.5524034815</v>
      </c>
    </row>
    <row r="78">
      <c r="A78" s="8" t="str">
        <f>'Récap'!A78</f>
        <v>6dd7cb5359f54edb9eb0becd33d19118d3e93e266ef7644cf7b9ad2b9ed1262d</v>
      </c>
      <c r="B78" s="3">
        <f t="shared" si="3"/>
        <v>0.9711263742</v>
      </c>
      <c r="C78" s="3">
        <f t="shared" ref="C78:H78" si="78">(XLOOKUP($A78, INDIRECT("'"&amp;C$1&amp;"'!A:A"), INDIRECT("'"&amp;C$1&amp;"'!B:B"), "")-AVERAGE(INDIRECT("'"&amp;C$1&amp;"'!B2:B")))/STDEV(INDIRECT("'"&amp;C$1&amp;"'!B2:B"))</f>
        <v>1.147582001</v>
      </c>
      <c r="D78" s="3">
        <f t="shared" si="78"/>
        <v>1.059454732</v>
      </c>
      <c r="E78" s="3">
        <f t="shared" si="78"/>
        <v>0.9452585176</v>
      </c>
      <c r="F78" s="3">
        <f t="shared" si="78"/>
        <v>-0.6630744363</v>
      </c>
      <c r="G78" s="3">
        <f t="shared" si="78"/>
        <v>-0.1015063709</v>
      </c>
      <c r="H78" s="3">
        <f t="shared" si="78"/>
        <v>-0.5597622279</v>
      </c>
    </row>
    <row r="79">
      <c r="A79" s="8" t="str">
        <f>'Récap'!A79</f>
        <v>a000fa4903a3a8290435e1735ea6773bf2f2a14d1b5e564b6ab0e060b8e38688</v>
      </c>
      <c r="B79" s="3">
        <f t="shared" si="3"/>
        <v>0.8246453038</v>
      </c>
      <c r="C79" s="3">
        <f t="shared" ref="C79:H79" si="79">(XLOOKUP($A79, INDIRECT("'"&amp;C$1&amp;"'!A:A"), INDIRECT("'"&amp;C$1&amp;"'!B:B"), "")-AVERAGE(INDIRECT("'"&amp;C$1&amp;"'!B2:B")))/STDEV(INDIRECT("'"&amp;C$1&amp;"'!B2:B"))</f>
        <v>0.9377098661</v>
      </c>
      <c r="D79" s="3">
        <f t="shared" si="79"/>
        <v>0.02442132941</v>
      </c>
      <c r="E79" s="3">
        <f t="shared" si="79"/>
        <v>1.876302621</v>
      </c>
      <c r="F79" s="3">
        <f t="shared" si="79"/>
        <v>-0.3627515442</v>
      </c>
      <c r="G79" s="3">
        <f t="shared" si="79"/>
        <v>1.235553467</v>
      </c>
      <c r="H79" s="3">
        <f t="shared" si="79"/>
        <v>-0.5766814355</v>
      </c>
    </row>
    <row r="80">
      <c r="A80" s="8" t="str">
        <f>'Récap'!A80</f>
        <v>e4380b18857e28837873b807b4ee2bee2e199a3536f56fb56fb5949de4c17a77</v>
      </c>
      <c r="B80" s="3">
        <f t="shared" si="3"/>
        <v>0.8246453038</v>
      </c>
      <c r="C80" s="3">
        <f t="shared" ref="C80:H80" si="80">(XLOOKUP($A80, INDIRECT("'"&amp;C$1&amp;"'!A:A"), INDIRECT("'"&amp;C$1&amp;"'!B:B"), "")-AVERAGE(INDIRECT("'"&amp;C$1&amp;"'!B2:B")))/STDEV(INDIRECT("'"&amp;C$1&amp;"'!B2:B"))</f>
        <v>0.4874094635</v>
      </c>
      <c r="D80" s="3">
        <f t="shared" si="80"/>
        <v>-0.8224241815</v>
      </c>
      <c r="E80" s="3">
        <f t="shared" si="80"/>
        <v>-0.91682969</v>
      </c>
      <c r="F80" s="3">
        <f t="shared" si="80"/>
        <v>-0.7977019396</v>
      </c>
      <c r="G80" s="3">
        <f t="shared" si="80"/>
        <v>-0.8146049511</v>
      </c>
      <c r="H80" s="3">
        <f t="shared" si="80"/>
        <v>-0.5766814355</v>
      </c>
    </row>
    <row r="81">
      <c r="A81" s="8" t="str">
        <f>'Récap'!A81</f>
        <v>8630de5bd303be8b63ba99b787f0f5ed4422765c8917b234cb8a2af6b762ca1d</v>
      </c>
      <c r="B81" s="3">
        <f t="shared" si="3"/>
        <v>0.9271820531</v>
      </c>
      <c r="C81" s="3">
        <f t="shared" ref="C81:H81" si="81">(XLOOKUP($A81, INDIRECT("'"&amp;C$1&amp;"'!A:A"), INDIRECT("'"&amp;C$1&amp;"'!B:B"), "")-AVERAGE(INDIRECT("'"&amp;C$1&amp;"'!B2:B")))/STDEV(INDIRECT("'"&amp;C$1&amp;"'!B2:B"))</f>
        <v>1.083353904</v>
      </c>
      <c r="D81" s="3">
        <f t="shared" si="81"/>
        <v>-0.1637665619</v>
      </c>
      <c r="E81" s="3">
        <f t="shared" si="81"/>
        <v>0.9452585176</v>
      </c>
      <c r="F81" s="3">
        <f t="shared" si="81"/>
        <v>-0.7242687559</v>
      </c>
      <c r="G81" s="3">
        <f t="shared" si="81"/>
        <v>0.8255217834</v>
      </c>
      <c r="H81" s="3">
        <f t="shared" si="81"/>
        <v>-0.5802701723</v>
      </c>
    </row>
    <row r="82">
      <c r="A82" s="8" t="str">
        <f>'Récap'!A82</f>
        <v>4d1ccd3b1393438168aeac88ee6d753d95c33c77fcc46afa13a5415a265323c2</v>
      </c>
      <c r="B82" s="3">
        <f t="shared" si="3"/>
        <v>-0.1612849773</v>
      </c>
      <c r="C82" s="3">
        <f t="shared" ref="C82:H82" si="82">(XLOOKUP($A82, INDIRECT("'"&amp;C$1&amp;"'!A:A"), INDIRECT("'"&amp;C$1&amp;"'!B:B"), "")-AVERAGE(INDIRECT("'"&amp;C$1&amp;"'!B2:B")))/STDEV(INDIRECT("'"&amp;C$1&amp;"'!B2:B"))</f>
        <v>-0.2021129958</v>
      </c>
      <c r="D82" s="3">
        <f t="shared" si="82"/>
        <v>1.341736569</v>
      </c>
      <c r="E82" s="3">
        <f t="shared" si="82"/>
        <v>0.0142144138</v>
      </c>
      <c r="F82" s="3">
        <f t="shared" si="82"/>
        <v>-0.2891091492</v>
      </c>
      <c r="G82" s="3">
        <f t="shared" si="82"/>
        <v>-0.4991959637</v>
      </c>
      <c r="H82" s="3">
        <f t="shared" si="82"/>
        <v>-0.6408831012</v>
      </c>
    </row>
    <row r="83">
      <c r="A83" s="8" t="str">
        <f>'Récap'!A83</f>
        <v>2f002333e3ee078069a370adede771895a413b747a8039cfe1f8b6d5f579fcc5</v>
      </c>
      <c r="B83" s="3">
        <f t="shared" si="3"/>
        <v>0.3734836072</v>
      </c>
      <c r="C83" s="3">
        <f t="shared" ref="C83:H83" si="83">(XLOOKUP($A83, INDIRECT("'"&amp;C$1&amp;"'!A:A"), INDIRECT("'"&amp;C$1&amp;"'!B:B"), "")-AVERAGE(INDIRECT("'"&amp;C$1&amp;"'!B2:B")))/STDEV(INDIRECT("'"&amp;C$1&amp;"'!B2:B"))</f>
        <v>0.2801587239</v>
      </c>
      <c r="D83" s="3">
        <f t="shared" si="83"/>
        <v>1.624018405</v>
      </c>
      <c r="E83" s="3">
        <f t="shared" si="83"/>
        <v>0.0142144138</v>
      </c>
      <c r="F83" s="3">
        <f t="shared" si="83"/>
        <v>-0.4207449303</v>
      </c>
      <c r="G83" s="3">
        <f t="shared" si="83"/>
        <v>-0.5318244796</v>
      </c>
      <c r="H83" s="3">
        <f t="shared" si="83"/>
        <v>-0.6627486849</v>
      </c>
    </row>
    <row r="84">
      <c r="A84" s="8" t="str">
        <f>'Récap'!A84</f>
        <v>4557b3c2bc31d36048e3c48befc7212d35b7d0d885d3d1f102c9060238b5090a</v>
      </c>
      <c r="B84" s="3">
        <f t="shared" si="3"/>
        <v>0.9035197263</v>
      </c>
      <c r="C84" s="3">
        <f t="shared" ref="C84:H84" si="84">(XLOOKUP($A84, INDIRECT("'"&amp;C$1&amp;"'!A:A"), INDIRECT("'"&amp;C$1&amp;"'!B:B"), "")-AVERAGE(INDIRECT("'"&amp;C$1&amp;"'!B2:B")))/STDEV(INDIRECT("'"&amp;C$1&amp;"'!B2:B"))</f>
        <v>0.987502719</v>
      </c>
      <c r="D84" s="3">
        <f t="shared" si="84"/>
        <v>0.2126092207</v>
      </c>
      <c r="E84" s="3">
        <f t="shared" si="84"/>
        <v>0.0142144138</v>
      </c>
      <c r="F84" s="3">
        <f t="shared" si="84"/>
        <v>-0.7438509383</v>
      </c>
      <c r="G84" s="3">
        <f t="shared" si="84"/>
        <v>-0.228845403</v>
      </c>
      <c r="H84" s="3">
        <f t="shared" si="84"/>
        <v>-0.684588445</v>
      </c>
    </row>
    <row r="85">
      <c r="A85" s="8" t="str">
        <f>'Récap'!A85</f>
        <v>8535ef1089f557f019e2fa787114fa1819dadf2106ea8f0b82f86e57f914ea2d</v>
      </c>
      <c r="B85" s="3">
        <f t="shared" si="3"/>
        <v>0.3119615576</v>
      </c>
      <c r="C85" s="3">
        <f t="shared" ref="C85:H85" si="85">(XLOOKUP($A85, INDIRECT("'"&amp;C$1&amp;"'!A:A"), INDIRECT("'"&amp;C$1&amp;"'!B:B"), "")-AVERAGE(INDIRECT("'"&amp;C$1&amp;"'!B2:B")))/STDEV(INDIRECT("'"&amp;C$1&amp;"'!B2:B"))</f>
        <v>0.3298043421</v>
      </c>
      <c r="D85" s="3">
        <f t="shared" si="85"/>
        <v>-0.2578605075</v>
      </c>
      <c r="E85" s="3">
        <f t="shared" si="85"/>
        <v>0.0142144138</v>
      </c>
      <c r="F85" s="3">
        <f t="shared" si="85"/>
        <v>-0.6361489356</v>
      </c>
      <c r="G85" s="3">
        <f t="shared" si="85"/>
        <v>0.09657656808</v>
      </c>
      <c r="H85" s="3">
        <f t="shared" si="85"/>
        <v>-0.7409859366</v>
      </c>
    </row>
    <row r="86">
      <c r="A86" s="8" t="str">
        <f>'Récap'!A86</f>
        <v>a35833a67176bfc8c1457633e2e41ffb5e4bf6aac7127377e8b9881caf1cf52e</v>
      </c>
      <c r="B86" s="3">
        <f t="shared" si="3"/>
        <v>1.080987177</v>
      </c>
      <c r="C86" s="3">
        <f t="shared" ref="C86:H86" si="86">(XLOOKUP($A86, INDIRECT("'"&amp;C$1&amp;"'!A:A"), INDIRECT("'"&amp;C$1&amp;"'!B:B"), "")-AVERAGE(INDIRECT("'"&amp;C$1&amp;"'!B2:B")))/STDEV(INDIRECT("'"&amp;C$1&amp;"'!B2:B"))</f>
        <v>0.9060481249</v>
      </c>
      <c r="D86" s="3">
        <f t="shared" si="86"/>
        <v>-0.7283302358</v>
      </c>
      <c r="E86" s="3">
        <f t="shared" si="86"/>
        <v>-0.91682969</v>
      </c>
      <c r="F86" s="3">
        <f t="shared" si="86"/>
        <v>-0.9592549436</v>
      </c>
      <c r="G86" s="3">
        <f t="shared" si="86"/>
        <v>-0.8146049511</v>
      </c>
      <c r="H86" s="3">
        <f t="shared" si="86"/>
        <v>-0.7582811282</v>
      </c>
    </row>
    <row r="87">
      <c r="A87" s="8" t="str">
        <f>'Récap'!A87</f>
        <v>080e819b7f2ec7fdf5df10abc0092a6ae39db49584244ea555a9ce18c8d57c53</v>
      </c>
      <c r="B87" s="3">
        <f t="shared" si="3"/>
        <v>1.080987177</v>
      </c>
      <c r="C87" s="3">
        <f t="shared" ref="C87:H87" si="87">(XLOOKUP($A87, INDIRECT("'"&amp;C$1&amp;"'!A:A"), INDIRECT("'"&amp;C$1&amp;"'!B:B"), "")-AVERAGE(INDIRECT("'"&amp;C$1&amp;"'!B2:B")))/STDEV(INDIRECT("'"&amp;C$1&amp;"'!B2:B"))</f>
        <v>0.9060481249</v>
      </c>
      <c r="D87" s="3">
        <f t="shared" si="87"/>
        <v>-0.7283302358</v>
      </c>
      <c r="E87" s="3">
        <f t="shared" si="87"/>
        <v>-0.91682969</v>
      </c>
      <c r="F87" s="3">
        <f t="shared" si="87"/>
        <v>-0.9592549436</v>
      </c>
      <c r="G87" s="3">
        <f t="shared" si="87"/>
        <v>-0.8146049511</v>
      </c>
      <c r="H87" s="3">
        <f t="shared" si="87"/>
        <v>-0.7582811282</v>
      </c>
    </row>
    <row r="88">
      <c r="A88" s="8" t="str">
        <f>'Récap'!A88</f>
        <v>d24b87329bb09b449a89676a4e96858c289cdfad521c03fb9ce166a83aceb603</v>
      </c>
      <c r="B88" s="3">
        <f t="shared" si="3"/>
        <v>0.3119615576</v>
      </c>
      <c r="C88" s="3">
        <f t="shared" ref="C88:H88" si="88">(XLOOKUP($A88, INDIRECT("'"&amp;C$1&amp;"'!A:A"), INDIRECT("'"&amp;C$1&amp;"'!B:B"), "")-AVERAGE(INDIRECT("'"&amp;C$1&amp;"'!B2:B")))/STDEV(INDIRECT("'"&amp;C$1&amp;"'!B2:B"))</f>
        <v>-0.2021129958</v>
      </c>
      <c r="D88" s="3">
        <f t="shared" si="88"/>
        <v>-0.7283302358</v>
      </c>
      <c r="E88" s="3">
        <f t="shared" si="88"/>
        <v>0.0142144138</v>
      </c>
      <c r="F88" s="3">
        <f t="shared" si="88"/>
        <v>-0.9592549436</v>
      </c>
      <c r="G88" s="3">
        <f t="shared" si="88"/>
        <v>1.235553467</v>
      </c>
      <c r="H88" s="3">
        <f t="shared" si="88"/>
        <v>-0.7582811282</v>
      </c>
    </row>
    <row r="89">
      <c r="A89" s="8" t="str">
        <f>'Récap'!A89</f>
        <v>bb0c30cc3cd79a7b954b6a58338b43ab5c258562b868a12e26fa432eed432da9</v>
      </c>
      <c r="B89" s="3">
        <f t="shared" si="3"/>
        <v>0.8246453038</v>
      </c>
      <c r="C89" s="3">
        <f t="shared" ref="C89:H89" si="89">(XLOOKUP($A89, INDIRECT("'"&amp;C$1&amp;"'!A:A"), INDIRECT("'"&amp;C$1&amp;"'!B:B"), "")-AVERAGE(INDIRECT("'"&amp;C$1&amp;"'!B2:B")))/STDEV(INDIRECT("'"&amp;C$1&amp;"'!B2:B"))</f>
        <v>0.4874094635</v>
      </c>
      <c r="D89" s="3">
        <f t="shared" si="89"/>
        <v>-0.8224241815</v>
      </c>
      <c r="E89" s="3">
        <f t="shared" si="89"/>
        <v>-0.91682969</v>
      </c>
      <c r="F89" s="3">
        <f t="shared" si="89"/>
        <v>-0.7977019396</v>
      </c>
      <c r="G89" s="3">
        <f t="shared" si="89"/>
        <v>-0.8146049511</v>
      </c>
      <c r="H89" s="3">
        <f t="shared" si="89"/>
        <v>-0.7740721294</v>
      </c>
    </row>
    <row r="90">
      <c r="A90" s="8" t="str">
        <f>'Récap'!A90</f>
        <v>d981675479ab443031cba32f40c3dca9e031547c59346a4c0ea7c624c054d936</v>
      </c>
      <c r="B90" s="3">
        <f t="shared" si="3"/>
        <v>1.080987177</v>
      </c>
      <c r="C90" s="3">
        <f t="shared" ref="C90:H90" si="90">(XLOOKUP($A90, INDIRECT("'"&amp;C$1&amp;"'!A:A"), INDIRECT("'"&amp;C$1&amp;"'!B:B"), "")-AVERAGE(INDIRECT("'"&amp;C$1&amp;"'!B2:B")))/STDEV(INDIRECT("'"&amp;C$1&amp;"'!B2:B"))</f>
        <v>1.096018608</v>
      </c>
      <c r="D90" s="3">
        <f t="shared" si="90"/>
        <v>0.1185152751</v>
      </c>
      <c r="E90" s="3">
        <f t="shared" si="90"/>
        <v>0.0142144138</v>
      </c>
      <c r="F90" s="3">
        <f t="shared" si="90"/>
        <v>-0.9130969424</v>
      </c>
      <c r="G90" s="3">
        <f t="shared" si="90"/>
        <v>-0.1837869763</v>
      </c>
      <c r="H90" s="3">
        <f t="shared" si="90"/>
        <v>-0.774072529</v>
      </c>
    </row>
    <row r="91">
      <c r="A91" s="8" t="str">
        <f>'Récap'!A91</f>
        <v>78cb6709ef3e4aa9ec5148bce49e841e9a6257b64dff512fdffde18f1e1fcd14</v>
      </c>
      <c r="B91" s="3">
        <f t="shared" si="3"/>
        <v>1.140142994</v>
      </c>
      <c r="C91" s="3">
        <f t="shared" ref="C91:H91" si="91">(XLOOKUP($A91, INDIRECT("'"&amp;C$1&amp;"'!A:A"), INDIRECT("'"&amp;C$1&amp;"'!B:B"), "")-AVERAGE(INDIRECT("'"&amp;C$1&amp;"'!B2:B")))/STDEV(INDIRECT("'"&amp;C$1&amp;"'!B2:B"))</f>
        <v>1.391159219</v>
      </c>
      <c r="D91" s="3">
        <f t="shared" si="91"/>
        <v>0.1185152751</v>
      </c>
      <c r="E91" s="3">
        <f t="shared" si="91"/>
        <v>-0.91682969</v>
      </c>
      <c r="F91" s="3">
        <f t="shared" si="91"/>
        <v>-0.9130969424</v>
      </c>
      <c r="G91" s="3">
        <f t="shared" si="91"/>
        <v>-0.8146049511</v>
      </c>
      <c r="H91" s="3">
        <f t="shared" si="91"/>
        <v>-0.7966313513</v>
      </c>
    </row>
    <row r="92">
      <c r="A92" s="8" t="str">
        <f>'Récap'!A92</f>
        <v>8dd7d47134248a03ffb88fe97e5ab8501d976a5d539ff01c30727b79ede1424f</v>
      </c>
      <c r="B92" s="3">
        <f t="shared" si="3"/>
        <v>1.080987177</v>
      </c>
      <c r="C92" s="3">
        <f t="shared" ref="C92:H92" si="92">(XLOOKUP($A92, INDIRECT("'"&amp;C$1&amp;"'!A:A"), INDIRECT("'"&amp;C$1&amp;"'!B:B"), "")-AVERAGE(INDIRECT("'"&amp;C$1&amp;"'!B2:B")))/STDEV(INDIRECT("'"&amp;C$1&amp;"'!B2:B"))</f>
        <v>1.196632581</v>
      </c>
      <c r="D92" s="3">
        <f t="shared" si="92"/>
        <v>0.4948910577</v>
      </c>
      <c r="E92" s="3">
        <f t="shared" si="92"/>
        <v>0.9452585176</v>
      </c>
      <c r="F92" s="3">
        <f t="shared" si="92"/>
        <v>-0.8874536085</v>
      </c>
      <c r="G92" s="3">
        <f t="shared" si="92"/>
        <v>0.150175481</v>
      </c>
      <c r="H92" s="3">
        <f t="shared" si="92"/>
        <v>-0.8179370267</v>
      </c>
    </row>
    <row r="93">
      <c r="A93" s="8" t="str">
        <f>'Récap'!A93</f>
        <v>c547e37e3c5d2add9a3cb5fdeecfbc779e0ee9d6a7dbb489c799cc94e7b9abd2</v>
      </c>
      <c r="B93" s="3">
        <f t="shared" si="3"/>
        <v>0.8246453038</v>
      </c>
      <c r="C93" s="3">
        <f t="shared" ref="C93:H93" si="93">(XLOOKUP($A93, INDIRECT("'"&amp;C$1&amp;"'!A:A"), INDIRECT("'"&amp;C$1&amp;"'!B:B"), "")-AVERAGE(INDIRECT("'"&amp;C$1&amp;"'!B2:B")))/STDEV(INDIRECT("'"&amp;C$1&amp;"'!B2:B"))</f>
        <v>0.697549649</v>
      </c>
      <c r="D93" s="3">
        <f t="shared" si="93"/>
        <v>-0.2578605075</v>
      </c>
      <c r="E93" s="3">
        <f t="shared" si="93"/>
        <v>-0.91682969</v>
      </c>
      <c r="F93" s="3">
        <f t="shared" si="93"/>
        <v>-0.9592549436</v>
      </c>
      <c r="G93" s="3">
        <f t="shared" si="93"/>
        <v>-0.8146049511</v>
      </c>
      <c r="H93" s="3">
        <f t="shared" si="93"/>
        <v>-0.8620522774</v>
      </c>
    </row>
    <row r="94">
      <c r="A94" s="8" t="str">
        <f>'Récap'!A94</f>
        <v>7026047c5e9f18234ed92d0bc1518a2a4944fc2a9a0bb90628e20b2d93e7f9ae</v>
      </c>
      <c r="B94" s="3">
        <f t="shared" si="3"/>
        <v>0.5316831631</v>
      </c>
      <c r="C94" s="3">
        <f t="shared" ref="C94:H94" si="94">(XLOOKUP($A94, INDIRECT("'"&amp;C$1&amp;"'!A:A"), INDIRECT("'"&amp;C$1&amp;"'!B:B"), "")-AVERAGE(INDIRECT("'"&amp;C$1&amp;"'!B2:B")))/STDEV(INDIRECT("'"&amp;C$1&amp;"'!B2:B"))</f>
        <v>0.5324395286</v>
      </c>
      <c r="D94" s="3">
        <f t="shared" si="94"/>
        <v>-0.3519544532</v>
      </c>
      <c r="E94" s="3">
        <f t="shared" si="94"/>
        <v>0.0142144138</v>
      </c>
      <c r="F94" s="3">
        <f t="shared" si="94"/>
        <v>-0.1694402574</v>
      </c>
      <c r="G94" s="3">
        <f t="shared" si="94"/>
        <v>0.210474258</v>
      </c>
      <c r="H94" s="3">
        <f t="shared" si="94"/>
        <v>-0.9225858472</v>
      </c>
    </row>
    <row r="95">
      <c r="A95" s="8" t="str">
        <f>'Récap'!A95</f>
        <v>519b74a02a32927ee8af772a01038d36736eb2aaeb604f8a15719710d72ccc04</v>
      </c>
      <c r="B95" s="3">
        <f t="shared" si="3"/>
        <v>1.307171183</v>
      </c>
      <c r="C95" s="3">
        <f t="shared" ref="C95:H95" si="95">(XLOOKUP($A95, INDIRECT("'"&amp;C$1&amp;"'!A:A"), INDIRECT("'"&amp;C$1&amp;"'!B:B"), "")-AVERAGE(INDIRECT("'"&amp;C$1&amp;"'!B2:B")))/STDEV(INDIRECT("'"&amp;C$1&amp;"'!B2:B"))</f>
        <v>1.475180705</v>
      </c>
      <c r="D95" s="3">
        <f t="shared" si="95"/>
        <v>0.683078949</v>
      </c>
      <c r="E95" s="3">
        <f t="shared" si="95"/>
        <v>-0.91682969</v>
      </c>
      <c r="F95" s="3">
        <f t="shared" si="95"/>
        <v>-1.120807948</v>
      </c>
      <c r="G95" s="3">
        <f t="shared" si="95"/>
        <v>-0.8146049511</v>
      </c>
      <c r="H95" s="3">
        <f t="shared" si="95"/>
        <v>-0.9635677768</v>
      </c>
    </row>
    <row r="96">
      <c r="A96" s="8" t="str">
        <f>'Récap'!A96</f>
        <v>13b34a353ac9ea6554f0bfc998b55f394ed800dfc03b32dc37d311d2551a5749</v>
      </c>
      <c r="B96" s="3">
        <f t="shared" si="3"/>
        <v>0.9955398859</v>
      </c>
      <c r="C96" s="3">
        <f t="shared" ref="C96:H96" si="96">(XLOOKUP($A96, INDIRECT("'"&amp;C$1&amp;"'!A:A"), INDIRECT("'"&amp;C$1&amp;"'!B:B"), "")-AVERAGE(INDIRECT("'"&amp;C$1&amp;"'!B2:B")))/STDEV(INDIRECT("'"&amp;C$1&amp;"'!B2:B"))</f>
        <v>1.105376169</v>
      </c>
      <c r="D96" s="3">
        <f t="shared" si="96"/>
        <v>4.352742829</v>
      </c>
      <c r="E96" s="3">
        <f t="shared" si="96"/>
        <v>0.0142144138</v>
      </c>
      <c r="F96" s="3">
        <f t="shared" si="96"/>
        <v>-1.057829658</v>
      </c>
      <c r="G96" s="3">
        <f t="shared" si="96"/>
        <v>-0.6732147153</v>
      </c>
      <c r="H96" s="3">
        <f t="shared" si="96"/>
        <v>-0.9780988031</v>
      </c>
    </row>
    <row r="97">
      <c r="A97" s="8" t="str">
        <f>'Récap'!A97</f>
        <v>86d73054aa9c80dbfbfce326489454f67087052ce0720f75ec87b849d851ce2b</v>
      </c>
      <c r="B97" s="3">
        <f t="shared" si="3"/>
        <v>0.5316831631</v>
      </c>
      <c r="C97" s="3">
        <f t="shared" ref="C97:H97" si="97">(XLOOKUP($A97, INDIRECT("'"&amp;C$1&amp;"'!A:A"), INDIRECT("'"&amp;C$1&amp;"'!B:B"), "")-AVERAGE(INDIRECT("'"&amp;C$1&amp;"'!B2:B")))/STDEV(INDIRECT("'"&amp;C$1&amp;"'!B2:B"))</f>
        <v>0.5324395286</v>
      </c>
      <c r="D97" s="3">
        <f t="shared" si="97"/>
        <v>-0.4460483988</v>
      </c>
      <c r="E97" s="3">
        <f t="shared" si="97"/>
        <v>0.0142144138</v>
      </c>
      <c r="F97" s="3">
        <f t="shared" si="97"/>
        <v>-0.7977019396</v>
      </c>
      <c r="G97" s="3">
        <f t="shared" si="97"/>
        <v>0.356914145</v>
      </c>
      <c r="H97" s="3">
        <f t="shared" si="97"/>
        <v>-1.06310936</v>
      </c>
    </row>
    <row r="98">
      <c r="A98" s="8" t="str">
        <f>'Récap'!A98</f>
        <v>7018f9f84b61c5801779302689a34fef5b2e9d95f52479d9ef486efda2e55c21</v>
      </c>
      <c r="B98" s="3">
        <f t="shared" si="3"/>
        <v>1.465499987</v>
      </c>
      <c r="C98" s="3">
        <f t="shared" ref="C98:H98" si="98">(XLOOKUP($A98, INDIRECT("'"&amp;C$1&amp;"'!A:A"), INDIRECT("'"&amp;C$1&amp;"'!B:B"), "")-AVERAGE(INDIRECT("'"&amp;C$1&amp;"'!B2:B")))/STDEV(INDIRECT("'"&amp;C$1&amp;"'!B2:B"))</f>
        <v>1.626352853</v>
      </c>
      <c r="D98" s="3">
        <f t="shared" si="98"/>
        <v>-0.3519544532</v>
      </c>
      <c r="E98" s="3">
        <f t="shared" si="98"/>
        <v>-0.91682969</v>
      </c>
      <c r="F98" s="3">
        <f t="shared" si="98"/>
        <v>-1.246460284</v>
      </c>
      <c r="G98" s="3">
        <f t="shared" si="98"/>
        <v>-0.8146049511</v>
      </c>
      <c r="H98" s="3">
        <f t="shared" si="98"/>
        <v>-1.08112503</v>
      </c>
    </row>
    <row r="99">
      <c r="A99" s="8" t="str">
        <f>'Récap'!A99</f>
        <v>fe48d6db483ac4bd61b017d826272e803a5ba40fca9dcc14ce181a1331e1fa18</v>
      </c>
      <c r="B99" s="3">
        <f t="shared" si="3"/>
        <v>1.33732905</v>
      </c>
      <c r="C99" s="3">
        <f t="shared" ref="C99:H99" si="99">(XLOOKUP($A99, INDIRECT("'"&amp;C$1&amp;"'!A:A"), INDIRECT("'"&amp;C$1&amp;"'!B:B"), "")-AVERAGE(INDIRECT("'"&amp;C$1&amp;"'!B2:B")))/STDEV(INDIRECT("'"&amp;C$1&amp;"'!B2:B"))</f>
        <v>1.37393836</v>
      </c>
      <c r="D99" s="3">
        <f t="shared" si="99"/>
        <v>-0.5401423445</v>
      </c>
      <c r="E99" s="3">
        <f t="shared" si="99"/>
        <v>-0.91682969</v>
      </c>
      <c r="F99" s="3">
        <f t="shared" si="99"/>
        <v>-1.143886948</v>
      </c>
      <c r="G99" s="3">
        <f t="shared" si="99"/>
        <v>-0.8146049511</v>
      </c>
      <c r="H99" s="3">
        <f t="shared" si="99"/>
        <v>-1.114068123</v>
      </c>
    </row>
    <row r="100">
      <c r="A100" s="8" t="str">
        <f>'Récap'!A100</f>
        <v>bd7739509fa70c858197ea24926c2c696b797f60240eac8fe389b1d67ce663be</v>
      </c>
      <c r="B100" s="3">
        <f t="shared" si="3"/>
        <v>1.234792301</v>
      </c>
      <c r="C100" s="3">
        <f t="shared" ref="C100:H100" si="100">(XLOOKUP($A100, INDIRECT("'"&amp;C$1&amp;"'!A:A"), INDIRECT("'"&amp;C$1&amp;"'!B:B"), "")-AVERAGE(INDIRECT("'"&amp;C$1&amp;"'!B2:B")))/STDEV(INDIRECT("'"&amp;C$1&amp;"'!B2:B"))</f>
        <v>0.8026197418</v>
      </c>
      <c r="D100" s="3">
        <f t="shared" si="100"/>
        <v>-0.5401423445</v>
      </c>
      <c r="E100" s="3">
        <f t="shared" si="100"/>
        <v>-0.91682969</v>
      </c>
      <c r="F100" s="3">
        <f t="shared" si="100"/>
        <v>-1.143886948</v>
      </c>
      <c r="G100" s="3">
        <f t="shared" si="100"/>
        <v>-0.8146049511</v>
      </c>
      <c r="H100" s="3">
        <f t="shared" si="100"/>
        <v>-1.297891649</v>
      </c>
    </row>
    <row r="101">
      <c r="A101" s="8" t="str">
        <f>'Récap'!A101</f>
        <v>db2e162c7c1734ed5a58abc1706b9efbbdadbd2ba5f77bea6911a1aabd5e0831</v>
      </c>
      <c r="B101" s="3">
        <f t="shared" si="3"/>
        <v>1.439865799</v>
      </c>
      <c r="C101" s="3">
        <f t="shared" ref="C101:H101" si="101">(XLOOKUP($A101, INDIRECT("'"&amp;C$1&amp;"'!A:A"), INDIRECT("'"&amp;C$1&amp;"'!B:B"), "")-AVERAGE(INDIRECT("'"&amp;C$1&amp;"'!B2:B")))/STDEV(INDIRECT("'"&amp;C$1&amp;"'!B2:B"))</f>
        <v>1.683549535</v>
      </c>
      <c r="D101" s="3">
        <f t="shared" si="101"/>
        <v>1.718112351</v>
      </c>
      <c r="E101" s="3">
        <f t="shared" si="101"/>
        <v>1.876302621</v>
      </c>
      <c r="F101" s="3">
        <f t="shared" si="101"/>
        <v>-1.397011471</v>
      </c>
      <c r="G101" s="3">
        <f t="shared" si="101"/>
        <v>0.005458416167</v>
      </c>
      <c r="H101" s="3">
        <f t="shared" si="101"/>
        <v>-1.321673218</v>
      </c>
    </row>
    <row r="102">
      <c r="A102" s="8" t="str">
        <f>'Récap'!A102</f>
        <v>aeff5cdc8c731a2b16beb6f260aeeca455401bc2ddb229aa87a464475f95b1ca</v>
      </c>
      <c r="B102" s="3">
        <f t="shared" si="3"/>
        <v>1.850012796</v>
      </c>
      <c r="C102" s="3">
        <f t="shared" ref="C102:H102" si="102">(XLOOKUP($A102, INDIRECT("'"&amp;C$1&amp;"'!A:A"), INDIRECT("'"&amp;C$1&amp;"'!B:B"), "")-AVERAGE(INDIRECT("'"&amp;C$1&amp;"'!B2:B")))/STDEV(INDIRECT("'"&amp;C$1&amp;"'!B2:B"))</f>
        <v>1.570944797</v>
      </c>
      <c r="D102" s="3">
        <f t="shared" si="102"/>
        <v>-0.8224241815</v>
      </c>
      <c r="E102" s="3">
        <f t="shared" si="102"/>
        <v>0.0142144138</v>
      </c>
      <c r="F102" s="3">
        <f t="shared" si="102"/>
        <v>-1.60546696</v>
      </c>
      <c r="G102" s="3">
        <f t="shared" si="102"/>
        <v>1.918939606</v>
      </c>
      <c r="H102" s="3">
        <f t="shared" si="102"/>
        <v>-1.484679899</v>
      </c>
    </row>
    <row r="103">
      <c r="A103" s="8" t="str">
        <f>'Récap'!A103</f>
        <v>eefcecf5c7183df8d369a35df238dd9fd990564264dcadc7bafacbafbef888ac</v>
      </c>
      <c r="B103" s="3">
        <f t="shared" si="3"/>
        <v>1.850012796</v>
      </c>
      <c r="C103" s="3">
        <f t="shared" ref="C103:H103" si="103">(XLOOKUP($A103, INDIRECT("'"&amp;C$1&amp;"'!A:A"), INDIRECT("'"&amp;C$1&amp;"'!B:B"), "")-AVERAGE(INDIRECT("'"&amp;C$1&amp;"'!B2:B")))/STDEV(INDIRECT("'"&amp;C$1&amp;"'!B2:B"))</f>
        <v>1.866454418</v>
      </c>
      <c r="D103" s="3">
        <f t="shared" si="103"/>
        <v>-0.6342362901</v>
      </c>
      <c r="E103" s="3">
        <f t="shared" si="103"/>
        <v>-0.91682969</v>
      </c>
      <c r="F103" s="3">
        <f t="shared" si="103"/>
        <v>-1.60546696</v>
      </c>
      <c r="G103" s="3">
        <f t="shared" si="103"/>
        <v>-0.8146049511</v>
      </c>
      <c r="H103" s="3">
        <f t="shared" si="103"/>
        <v>-1.484679899</v>
      </c>
    </row>
    <row r="104">
      <c r="A104" s="8" t="str">
        <f>'Récap'!A104</f>
        <v>9323ada035535298a0de65f40698a45122446c861947978f1be17123ecf09a53</v>
      </c>
      <c r="B104" s="3">
        <f t="shared" si="3"/>
        <v>1.850012796</v>
      </c>
      <c r="C104" s="3">
        <f t="shared" ref="C104:H104" si="104">(XLOOKUP($A104, INDIRECT("'"&amp;C$1&amp;"'!A:A"), INDIRECT("'"&amp;C$1&amp;"'!B:B"), "")-AVERAGE(INDIRECT("'"&amp;C$1&amp;"'!B2:B")))/STDEV(INDIRECT("'"&amp;C$1&amp;"'!B2:B"))</f>
        <v>1.866454418</v>
      </c>
      <c r="D104" s="3">
        <f t="shared" si="104"/>
        <v>-0.6342362901</v>
      </c>
      <c r="E104" s="3">
        <f t="shared" si="104"/>
        <v>0.0142144138</v>
      </c>
      <c r="F104" s="3">
        <f t="shared" si="104"/>
        <v>-1.60546696</v>
      </c>
      <c r="G104" s="3">
        <f t="shared" si="104"/>
        <v>0.8255217834</v>
      </c>
      <c r="H104" s="3">
        <f t="shared" si="104"/>
        <v>-1.484679899</v>
      </c>
    </row>
    <row r="105">
      <c r="A105" s="8" t="str">
        <f>'Récap'!A105</f>
        <v>a1a57315af0421443e73ff39f4cc4afaabfb05e5c435fafd3504fd91ab223453</v>
      </c>
      <c r="B105" s="3">
        <f t="shared" si="3"/>
        <v>1.850012796</v>
      </c>
      <c r="C105" s="3">
        <f t="shared" ref="C105:H105" si="105">(XLOOKUP($A105, INDIRECT("'"&amp;C$1&amp;"'!A:A"), INDIRECT("'"&amp;C$1&amp;"'!B:B"), "")-AVERAGE(INDIRECT("'"&amp;C$1&amp;"'!B2:B")))/STDEV(INDIRECT("'"&amp;C$1&amp;"'!B2:B"))</f>
        <v>1.950885763</v>
      </c>
      <c r="D105" s="3">
        <f t="shared" si="105"/>
        <v>-0.5401423445</v>
      </c>
      <c r="E105" s="3">
        <f t="shared" si="105"/>
        <v>-0.91682969</v>
      </c>
      <c r="F105" s="3">
        <f t="shared" si="105"/>
        <v>-1.60546696</v>
      </c>
      <c r="G105" s="3">
        <f t="shared" si="105"/>
        <v>-0.8146049511</v>
      </c>
      <c r="H105" s="3">
        <f t="shared" si="105"/>
        <v>-1.484679899</v>
      </c>
    </row>
    <row r="106">
      <c r="A106" s="8" t="str">
        <f>'Récap'!A106</f>
        <v>f837bce807410ac6f8b52fcee81a1ffaa2d7f77755861f2e6f2b482bff0f6fe9</v>
      </c>
      <c r="B106" s="3">
        <f t="shared" si="3"/>
        <v>1.850012796</v>
      </c>
      <c r="C106" s="3">
        <f t="shared" ref="C106:H106" si="106">(XLOOKUP($A106, INDIRECT("'"&amp;C$1&amp;"'!A:A"), INDIRECT("'"&amp;C$1&amp;"'!B:B"), "")-AVERAGE(INDIRECT("'"&amp;C$1&amp;"'!B2:B")))/STDEV(INDIRECT("'"&amp;C$1&amp;"'!B2:B"))</f>
        <v>1.984983012</v>
      </c>
      <c r="D106" s="3">
        <f t="shared" si="106"/>
        <v>0.2126092207</v>
      </c>
      <c r="E106" s="3">
        <f t="shared" si="106"/>
        <v>1.876302621</v>
      </c>
      <c r="F106" s="3">
        <f t="shared" si="106"/>
        <v>-1.60546696</v>
      </c>
      <c r="G106" s="3">
        <f t="shared" si="106"/>
        <v>0.942673693</v>
      </c>
      <c r="H106" s="3">
        <f t="shared" si="106"/>
        <v>-1.484679899</v>
      </c>
    </row>
    <row r="107">
      <c r="A107" s="8" t="str">
        <f>'Récap'!A107</f>
        <v>fcf731e2be9a1377e7aed9c84be49e59ff2b3595fd86235d37d58011462b8fcf</v>
      </c>
      <c r="B107" s="3">
        <f t="shared" si="3"/>
        <v>1.850012796</v>
      </c>
      <c r="C107" s="3">
        <f t="shared" ref="C107:H107" si="107">(XLOOKUP($A107, INDIRECT("'"&amp;C$1&amp;"'!A:A"), INDIRECT("'"&amp;C$1&amp;"'!B:B"), "")-AVERAGE(INDIRECT("'"&amp;C$1&amp;"'!B2:B")))/STDEV(INDIRECT("'"&amp;C$1&amp;"'!B2:B"))</f>
        <v>2.135099553</v>
      </c>
      <c r="D107" s="3">
        <f t="shared" si="107"/>
        <v>-0.1637665619</v>
      </c>
      <c r="E107" s="3">
        <f t="shared" si="107"/>
        <v>0.0142144138</v>
      </c>
      <c r="F107" s="3">
        <f t="shared" si="107"/>
        <v>-1.60546696</v>
      </c>
      <c r="G107" s="3">
        <f t="shared" si="107"/>
        <v>0.005458416167</v>
      </c>
      <c r="H107" s="3">
        <f t="shared" si="107"/>
        <v>-1.484679899</v>
      </c>
    </row>
    <row r="108">
      <c r="A108" s="8" t="str">
        <f>'Récap'!A108</f>
        <v>73da0df025bd69a83446ff2c9628a7f2f1ff34bff9e343059e17e4d31a6218d3</v>
      </c>
      <c r="B108" s="3">
        <f t="shared" si="3"/>
        <v>1.850012796</v>
      </c>
      <c r="C108" s="3">
        <f t="shared" ref="C108:H108" si="108">(XLOOKUP($A108, INDIRECT("'"&amp;C$1&amp;"'!A:A"), INDIRECT("'"&amp;C$1&amp;"'!B:B"), "")-AVERAGE(INDIRECT("'"&amp;C$1&amp;"'!B2:B")))/STDEV(INDIRECT("'"&amp;C$1&amp;"'!B2:B"))</f>
        <v>2.184695561</v>
      </c>
      <c r="D108" s="3">
        <f t="shared" si="108"/>
        <v>0.02442132941</v>
      </c>
      <c r="E108" s="3">
        <f t="shared" si="108"/>
        <v>0.0142144138</v>
      </c>
      <c r="F108" s="3">
        <f t="shared" si="108"/>
        <v>-1.60546696</v>
      </c>
      <c r="G108" s="3">
        <f t="shared" si="108"/>
        <v>-0.1312188117</v>
      </c>
      <c r="H108" s="3">
        <f t="shared" si="108"/>
        <v>-1.484679899</v>
      </c>
    </row>
    <row r="109">
      <c r="A109" s="8" t="str">
        <f>'Récap'!A109</f>
        <v>7854ad4022596904b137ebbb044e0bbbd2f590b0dac7f5a46d9991f3c049d647</v>
      </c>
      <c r="B109" s="3">
        <f t="shared" si="3"/>
        <v>1.850012796</v>
      </c>
      <c r="C109" s="3">
        <f t="shared" ref="C109:H109" si="109">(XLOOKUP($A109, INDIRECT("'"&amp;C$1&amp;"'!A:A"), INDIRECT("'"&amp;C$1&amp;"'!B:B"), "")-AVERAGE(INDIRECT("'"&amp;C$1&amp;"'!B2:B")))/STDEV(INDIRECT("'"&amp;C$1&amp;"'!B2:B"))</f>
        <v>2.221065976</v>
      </c>
      <c r="D109" s="3">
        <f t="shared" si="109"/>
        <v>0.3067031664</v>
      </c>
      <c r="E109" s="3">
        <f t="shared" si="109"/>
        <v>0.9452585176</v>
      </c>
      <c r="F109" s="3">
        <f t="shared" si="109"/>
        <v>-1.60546696</v>
      </c>
      <c r="G109" s="3">
        <f t="shared" si="109"/>
        <v>0.2788128719</v>
      </c>
      <c r="H109" s="3">
        <f t="shared" si="109"/>
        <v>-1.484679899</v>
      </c>
    </row>
    <row r="110">
      <c r="A110" s="8" t="str">
        <f>'Récap'!A110</f>
        <v>570df8c7a9f77bb2889ba29eb35271e4e2340fd1709d075882800ac637643e15</v>
      </c>
      <c r="B110" s="3">
        <f t="shared" si="3"/>
        <v>1.850012796</v>
      </c>
      <c r="C110" s="3">
        <f t="shared" ref="C110:H110" si="110">(XLOOKUP($A110, INDIRECT("'"&amp;C$1&amp;"'!A:A"), INDIRECT("'"&amp;C$1&amp;"'!B:B"), "")-AVERAGE(INDIRECT("'"&amp;C$1&amp;"'!B2:B")))/STDEV(INDIRECT("'"&amp;C$1&amp;"'!B2:B"))</f>
        <v>1.570944797</v>
      </c>
      <c r="D110" s="3">
        <f t="shared" si="110"/>
        <v>-0.8224241815</v>
      </c>
      <c r="E110" s="3">
        <f t="shared" si="110"/>
        <v>-0.91682969</v>
      </c>
      <c r="F110" s="3">
        <f t="shared" si="110"/>
        <v>-1.60546696</v>
      </c>
      <c r="G110" s="3">
        <f t="shared" si="110"/>
        <v>-0.8146049511</v>
      </c>
      <c r="H110" s="3">
        <f t="shared" si="110"/>
        <v>-1.484679899</v>
      </c>
    </row>
    <row r="111">
      <c r="A111" s="8" t="str">
        <f>'Récap'!A111</f>
        <v>4082ac64b81101cbebcabd3b8b597bf7966896898674d507e118e3c0367ac800</v>
      </c>
      <c r="B111" s="3">
        <f t="shared" si="3"/>
        <v>1.850012796</v>
      </c>
      <c r="C111" s="3">
        <f t="shared" ref="C111:H111" si="111">(XLOOKUP($A111, INDIRECT("'"&amp;C$1&amp;"'!A:A"), INDIRECT("'"&amp;C$1&amp;"'!B:B"), "")-AVERAGE(INDIRECT("'"&amp;C$1&amp;"'!B2:B")))/STDEV(INDIRECT("'"&amp;C$1&amp;"'!B2:B"))</f>
        <v>1.748250577</v>
      </c>
      <c r="D111" s="3">
        <f t="shared" si="111"/>
        <v>-0.7283302358</v>
      </c>
      <c r="E111" s="3">
        <f t="shared" si="111"/>
        <v>-0.91682969</v>
      </c>
      <c r="F111" s="3">
        <f t="shared" si="111"/>
        <v>-1.60546696</v>
      </c>
      <c r="G111" s="3">
        <f t="shared" si="111"/>
        <v>-0.8146049511</v>
      </c>
      <c r="H111" s="3">
        <f t="shared" si="111"/>
        <v>-1.484679899</v>
      </c>
    </row>
    <row r="112">
      <c r="A112" s="8" t="str">
        <f>'Récap'!A112</f>
        <v/>
      </c>
    </row>
    <row r="113">
      <c r="A113" s="8" t="str">
        <f>'Récap'!A113</f>
        <v/>
      </c>
    </row>
    <row r="114">
      <c r="A114" s="8" t="str">
        <f>'Récap'!A114</f>
        <v/>
      </c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tr">
        <f>'Récap'!E1</f>
        <v>EQ</v>
      </c>
      <c r="C1" s="6" t="str">
        <f>'Récap'!F1</f>
        <v>RED</v>
      </c>
      <c r="D1" s="3" t="str">
        <f>'Récap'!G1</f>
        <v>Comp_Count</v>
      </c>
      <c r="E1" s="3" t="str">
        <f>'Récap'!H1</f>
        <v>Sess_Count</v>
      </c>
      <c r="F1" s="3" t="str">
        <f>'Récap'!I1</f>
        <v>Comp_FP_Ratio</v>
      </c>
      <c r="G1" s="3" t="str">
        <f>'Récap'!J1</f>
        <v>Frac_Long</v>
      </c>
      <c r="H1" s="3" t="str">
        <f>'Récap'!K1</f>
        <v>Mean_Test</v>
      </c>
      <c r="I1" s="3" t="str">
        <f>'Récap'!L1</f>
        <v/>
      </c>
      <c r="J1" s="3" t="str">
        <f>'Récap'!M1</f>
        <v/>
      </c>
      <c r="K1" s="3" t="str">
        <f>'Récap'!N1</f>
        <v/>
      </c>
    </row>
    <row r="2">
      <c r="A2" s="6" t="str">
        <f>'Récap'!E$1</f>
        <v>EQ</v>
      </c>
      <c r="B2" s="3">
        <f>CORREL(ACP_Norm_Red!$B$2:$B1000,ACP_Norm_Red!B$2:B1000)</f>
        <v>1</v>
      </c>
      <c r="C2" s="3">
        <f>CORREL(ACP_Norm_Red!$B$2:$B1000,ACP_Norm_Red!C2:C1000)</f>
        <v>0.984623768</v>
      </c>
      <c r="D2" s="3">
        <f>CORREL(ACP_Norm_Red!$B$2:$B1000,ACP_Norm_Red!D2:D1000)</f>
        <v>0.03292577078</v>
      </c>
      <c r="E2" s="3">
        <f>CORREL(ACP_Norm_Red!$B$2:$B1000,ACP_Norm_Red!E2:E1000)</f>
        <v>-0.1758801005</v>
      </c>
      <c r="F2" s="3">
        <f>CORREL(ACP_Norm_Red!$B$2:$B1000,ACP_Norm_Red!F2:F1000)</f>
        <v>-0.9481456245</v>
      </c>
      <c r="G2" s="3">
        <f>CORREL(ACP_Norm_Red!$B$2:$B1000,ACP_Norm_Red!G2:G1000)</f>
        <v>-0.2731474254</v>
      </c>
      <c r="H2" s="3">
        <f>CORREL(ACP_Norm_Red!$B$2:$B1000,ACP_Norm_Red!H2:H1000)</f>
        <v>-0.8599683752</v>
      </c>
    </row>
    <row r="3">
      <c r="A3" s="6" t="str">
        <f>'Récap'!F$1</f>
        <v>RED</v>
      </c>
      <c r="B3" s="3">
        <f>CORREL(ACP_Norm_Red!$C$2:$C1000,ACP_Norm_Red!B$2:B1000)</f>
        <v>0.984623768</v>
      </c>
      <c r="C3" s="3">
        <f>CORREL(ACP_Norm_Red!$C$2:$C1000,ACP_Norm_Red!C$2:C1000)</f>
        <v>1</v>
      </c>
      <c r="D3" s="3">
        <f>CORREL(ACP_Norm_Red!$C$2:$C1000,ACP_Norm_Red!D$2:D1000)</f>
        <v>0.0865375327</v>
      </c>
      <c r="E3" s="3">
        <f>CORREL(ACP_Norm_Red!$C$2:$C1000,ACP_Norm_Red!E$2:E1000)</f>
        <v>-0.1273594332</v>
      </c>
      <c r="F3" s="3">
        <f>CORREL(ACP_Norm_Red!$C$2:$C1000,ACP_Norm_Red!F$2:F1000)</f>
        <v>-0.9235971435</v>
      </c>
      <c r="G3" s="3">
        <f>CORREL(ACP_Norm_Red!$C$2:$C1000,ACP_Norm_Red!G$2:G1000)</f>
        <v>-0.2495634584</v>
      </c>
      <c r="H3" s="3">
        <f>CORREL(ACP_Norm_Red!$C$2:$C1000,ACP_Norm_Red!H$2:H1000)</f>
        <v>-0.8425503152</v>
      </c>
    </row>
    <row r="4">
      <c r="A4" s="3" t="str">
        <f>'Récap'!G$1</f>
        <v>Comp_Count</v>
      </c>
      <c r="B4" s="3">
        <f>CORREL(ACP_Norm_Red!$D$2:$D1000,ACP_Norm_Red!B$2:B1000)</f>
        <v>0.03292577078</v>
      </c>
      <c r="C4" s="3">
        <f>CORREL(ACP_Norm_Red!$D$2:$D1000,ACP_Norm_Red!C$2:C1000)</f>
        <v>0.0865375327</v>
      </c>
      <c r="D4" s="3">
        <f>CORREL(ACP_Norm_Red!$D$2:$D1000,ACP_Norm_Red!D$2:D1000)</f>
        <v>1</v>
      </c>
      <c r="E4" s="3">
        <f>CORREL(ACP_Norm_Red!$D$2:$D1000,ACP_Norm_Red!E$2:E1000)</f>
        <v>0.2681503596</v>
      </c>
      <c r="F4" s="3">
        <f>CORREL(ACP_Norm_Red!$D$2:$D1000,ACP_Norm_Red!F$2:F1000)</f>
        <v>0.0003438159592</v>
      </c>
      <c r="G4" s="3">
        <f>CORREL(ACP_Norm_Red!$D$2:$D1000,ACP_Norm_Red!G$2:G1000)</f>
        <v>-0.2377416732</v>
      </c>
      <c r="H4" s="3">
        <f>CORREL(ACP_Norm_Red!$D$2:$D1000,ACP_Norm_Red!H$2:H1000)</f>
        <v>0.01621893113</v>
      </c>
    </row>
    <row r="5">
      <c r="A5" s="3" t="str">
        <f>'Récap'!H$1</f>
        <v>Sess_Count</v>
      </c>
      <c r="B5" s="3">
        <f>CORREL(ACP_Norm_Red!$E$2:$E1000,ACP_Norm_Red!B$2:B1000)</f>
        <v>-0.1758801005</v>
      </c>
      <c r="C5" s="3">
        <f>CORREL(ACP_Norm_Red!$E$2:$E1000,ACP_Norm_Red!C$2:C1000)</f>
        <v>-0.1273594332</v>
      </c>
      <c r="D5" s="3">
        <f>CORREL(ACP_Norm_Red!$E$2:$E1000,ACP_Norm_Red!D$2:D1000)</f>
        <v>0.2681503596</v>
      </c>
      <c r="E5" s="3">
        <f>CORREL(ACP_Norm_Red!$E$2:$E1000,ACP_Norm_Red!E$2:E1000)</f>
        <v>1</v>
      </c>
      <c r="F5" s="3">
        <f>CORREL(ACP_Norm_Red!$E$2:$E1000,ACP_Norm_Red!F$2:F1000)</f>
        <v>0.1795150066</v>
      </c>
      <c r="G5" s="3">
        <f>CORREL(ACP_Norm_Red!$E$2:$E1000,ACP_Norm_Red!G$2:G1000)</f>
        <v>0.6298227312</v>
      </c>
      <c r="H5" s="3">
        <f>CORREL(ACP_Norm_Red!$E$2:$E1000,ACP_Norm_Red!H$2:H1000)</f>
        <v>0.1279779844</v>
      </c>
    </row>
    <row r="6">
      <c r="A6" s="3" t="str">
        <f>'Récap'!I$1</f>
        <v>Comp_FP_Ratio</v>
      </c>
      <c r="B6" s="3">
        <f>CORREL(ACP_Norm_Red!$F$2:$F1000,ACP_Norm_Red!B$2:B1000)</f>
        <v>-0.9481456245</v>
      </c>
      <c r="C6" s="3">
        <f>CORREL(ACP_Norm_Red!$F$2:$F1000,ACP_Norm_Red!C$2:C1000)</f>
        <v>-0.9235971435</v>
      </c>
      <c r="D6" s="3">
        <f>CORREL(ACP_Norm_Red!$F$2:$F1000,ACP_Norm_Red!D$2:D1000)</f>
        <v>0.0003438159592</v>
      </c>
      <c r="E6" s="3">
        <f>CORREL(ACP_Norm_Red!$F$2:$F1000,ACP_Norm_Red!E$2:E1000)</f>
        <v>0.1795150066</v>
      </c>
      <c r="F6" s="3">
        <f>CORREL(ACP_Norm_Red!$F$2:$F1000,ACP_Norm_Red!F$2:F1000)</f>
        <v>1</v>
      </c>
      <c r="G6" s="3">
        <f>CORREL(ACP_Norm_Red!$F$2:$F1000,ACP_Norm_Red!G$2:G1000)</f>
        <v>0.2434302232</v>
      </c>
      <c r="H6" s="3">
        <f>CORREL(ACP_Norm_Red!$F$2:$F1000,ACP_Norm_Red!H$2:H1000)</f>
        <v>0.9280916578</v>
      </c>
    </row>
    <row r="7">
      <c r="A7" s="3" t="str">
        <f>'Récap'!J$1</f>
        <v>Frac_Long</v>
      </c>
      <c r="B7" s="3">
        <f>CORREL(ACP_Norm_Red!$G$2:$G1000,ACP_Norm_Red!B$2:B1000)</f>
        <v>-0.2731474254</v>
      </c>
      <c r="C7" s="3">
        <f>CORREL(ACP_Norm_Red!$G$2:$G1000,ACP_Norm_Red!C$2:C1000)</f>
        <v>-0.2495634584</v>
      </c>
      <c r="D7" s="3">
        <f>CORREL(ACP_Norm_Red!$G$2:$G1000,ACP_Norm_Red!D$2:D1000)</f>
        <v>-0.2377416732</v>
      </c>
      <c r="E7" s="3">
        <f>CORREL(ACP_Norm_Red!$G$2:$G1000,ACP_Norm_Red!E$2:E1000)</f>
        <v>0.6298227312</v>
      </c>
      <c r="F7" s="3">
        <f>CORREL(ACP_Norm_Red!$G$2:$G1000,ACP_Norm_Red!F$2:F1000)</f>
        <v>0.2434302232</v>
      </c>
      <c r="G7" s="3">
        <f>CORREL(ACP_Norm_Red!$G$2:$G1000,ACP_Norm_Red!G$2:G1000)</f>
        <v>1</v>
      </c>
      <c r="H7" s="3">
        <f>CORREL(ACP_Norm_Red!$G$2:$G1000,ACP_Norm_Red!H$2:H1000)</f>
        <v>0.1916298069</v>
      </c>
    </row>
    <row r="8">
      <c r="A8" s="3" t="str">
        <f>'Récap'!K1</f>
        <v>Mean_Test</v>
      </c>
      <c r="B8" s="3">
        <f>CORREL(ACP_Norm_Red!$H$2:$H1000,ACP_Norm_Red!B$2:B1000)</f>
        <v>-0.8599683752</v>
      </c>
      <c r="C8" s="3">
        <f>CORREL(ACP_Norm_Red!$H$2:$H1000,ACP_Norm_Red!C$2:C1000)</f>
        <v>-0.8425503152</v>
      </c>
      <c r="D8" s="3">
        <f>CORREL(ACP_Norm_Red!$H$2:$H1000,ACP_Norm_Red!D$2:D1000)</f>
        <v>0.01621893113</v>
      </c>
      <c r="E8" s="3">
        <f>CORREL(ACP_Norm_Red!$H$2:$H1000,ACP_Norm_Red!E$2:E1000)</f>
        <v>0.1279779844</v>
      </c>
      <c r="F8" s="3">
        <f>CORREL(ACP_Norm_Red!$H$2:$H1000,ACP_Norm_Red!F$2:F1000)</f>
        <v>0.9280916578</v>
      </c>
      <c r="G8" s="3">
        <f>CORREL(ACP_Norm_Red!$H$2:$H1000,ACP_Norm_Red!G$2:G1000)</f>
        <v>0.1916298069</v>
      </c>
      <c r="H8" s="3">
        <f>CORREL(ACP_Norm_Red!$H$2:$H1000,ACP_Norm_Red!H$2:H1000)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6.0"/>
    <col customWidth="1" min="3" max="3" width="46.88"/>
  </cols>
  <sheetData>
    <row r="1">
      <c r="A1" s="10"/>
      <c r="B1" s="11" t="str">
        <f>'Récap'!E1</f>
        <v>EQ</v>
      </c>
      <c r="C1" s="11" t="str">
        <f>'Récap'!F1</f>
        <v>RED</v>
      </c>
      <c r="D1" s="10" t="str">
        <f>'Récap'!G1</f>
        <v>Comp_Count</v>
      </c>
      <c r="E1" s="10" t="str">
        <f>'Récap'!H1</f>
        <v>Sess_Count</v>
      </c>
      <c r="F1" s="10" t="str">
        <f>'Récap'!I1</f>
        <v>Comp_FP_Ratio</v>
      </c>
      <c r="G1" s="10" t="str">
        <f>'Récap'!J1</f>
        <v>Frac_Long</v>
      </c>
      <c r="H1" s="10" t="str">
        <f>'Récap'!K1</f>
        <v>Mean_Test</v>
      </c>
    </row>
    <row r="2">
      <c r="A2" s="12" t="s">
        <v>11</v>
      </c>
      <c r="B2" s="12">
        <f t="shared" ref="B2:H2" si="1">QUARTILE(INDIRECT("'"&amp;B$1&amp;"'!B:B"),1)</f>
        <v>0.125</v>
      </c>
      <c r="C2" s="12">
        <f t="shared" si="1"/>
        <v>0.0625</v>
      </c>
      <c r="D2" s="12">
        <f t="shared" si="1"/>
        <v>5</v>
      </c>
      <c r="E2" s="12">
        <f t="shared" si="1"/>
        <v>1</v>
      </c>
      <c r="F2" s="12">
        <f t="shared" si="1"/>
        <v>0.25</v>
      </c>
      <c r="G2" s="12">
        <f t="shared" si="1"/>
        <v>0</v>
      </c>
      <c r="H2" s="12">
        <f t="shared" si="1"/>
        <v>0.2</v>
      </c>
    </row>
    <row r="3">
      <c r="A3" s="12" t="s">
        <v>12</v>
      </c>
      <c r="B3" s="12">
        <f t="shared" ref="B3:H3" si="2">QUARTILE(INDIRECT("'"&amp;B$1&amp;"'!B:B"),2)</f>
        <v>0.3333333333</v>
      </c>
      <c r="C3" s="12">
        <f t="shared" si="2"/>
        <v>0.215838505</v>
      </c>
      <c r="D3" s="12">
        <f t="shared" si="2"/>
        <v>10</v>
      </c>
      <c r="E3" s="12">
        <f t="shared" si="2"/>
        <v>2</v>
      </c>
      <c r="F3" s="12">
        <f t="shared" si="2"/>
        <v>0.5</v>
      </c>
      <c r="G3" s="12">
        <f t="shared" si="2"/>
        <v>0.07142857143</v>
      </c>
      <c r="H3" s="12">
        <f t="shared" si="2"/>
        <v>0.41388889</v>
      </c>
    </row>
    <row r="4">
      <c r="A4" s="12" t="s">
        <v>13</v>
      </c>
      <c r="B4" s="12">
        <f t="shared" ref="B4:H4" si="3">QUARTILE(INDIRECT("'"&amp;B$1&amp;"'!B:B"),3)</f>
        <v>0.6666666667</v>
      </c>
      <c r="C4" s="12">
        <f t="shared" si="3"/>
        <v>0.53020833</v>
      </c>
      <c r="D4" s="12">
        <f t="shared" si="3"/>
        <v>18</v>
      </c>
      <c r="E4" s="12">
        <f t="shared" si="3"/>
        <v>3</v>
      </c>
      <c r="F4" s="12">
        <f t="shared" si="3"/>
        <v>0.75</v>
      </c>
      <c r="G4" s="12">
        <f t="shared" si="3"/>
        <v>0.1428571429</v>
      </c>
      <c r="H4" s="12">
        <f t="shared" si="3"/>
        <v>0.579510335</v>
      </c>
    </row>
    <row r="5">
      <c r="A5" s="12" t="s">
        <v>14</v>
      </c>
      <c r="B5" s="12">
        <f t="shared" ref="B5:H5" si="4">QUARTILE(INDIRECT("'"&amp;B$1&amp;"'!B:B"),4)</f>
        <v>1</v>
      </c>
      <c r="C5" s="12">
        <f t="shared" si="4"/>
        <v>0.93333333</v>
      </c>
      <c r="D5" s="12">
        <f t="shared" si="4"/>
        <v>60</v>
      </c>
      <c r="E5" s="12">
        <f t="shared" si="4"/>
        <v>6</v>
      </c>
      <c r="F5" s="12">
        <f t="shared" si="4"/>
        <v>1</v>
      </c>
      <c r="G5" s="12">
        <f t="shared" si="4"/>
        <v>0.6666666667</v>
      </c>
      <c r="H5" s="12">
        <f t="shared" si="4"/>
        <v>1</v>
      </c>
    </row>
    <row r="6">
      <c r="A6" s="12"/>
      <c r="B6" s="12"/>
    </row>
    <row r="7">
      <c r="A7" s="13"/>
      <c r="B7" s="12"/>
    </row>
    <row r="8">
      <c r="A8" s="13"/>
      <c r="B8" s="12"/>
    </row>
    <row r="9">
      <c r="A9" s="13"/>
    </row>
    <row r="10">
      <c r="A10" s="11" t="s">
        <v>3</v>
      </c>
      <c r="B10" s="11" t="s">
        <v>15</v>
      </c>
      <c r="C10" s="11" t="s">
        <v>16</v>
      </c>
      <c r="D10" s="2" t="s">
        <v>17</v>
      </c>
    </row>
    <row r="11">
      <c r="A11" s="3" t="s">
        <v>18</v>
      </c>
      <c r="B11" s="12" t="s">
        <v>19</v>
      </c>
      <c r="C11" s="2" t="s">
        <v>20</v>
      </c>
      <c r="D11" s="3">
        <f>COUNTIF('Récap'!D:D,A11)</f>
        <v>10</v>
      </c>
    </row>
    <row r="12">
      <c r="A12" s="3" t="s">
        <v>21</v>
      </c>
      <c r="B12" s="12" t="s">
        <v>22</v>
      </c>
      <c r="C12" s="2" t="s">
        <v>23</v>
      </c>
      <c r="D12" s="3">
        <f>COUNTIF('Récap'!D:D,A12)</f>
        <v>24</v>
      </c>
    </row>
    <row r="13">
      <c r="A13" s="3" t="s">
        <v>24</v>
      </c>
      <c r="B13" s="12" t="s">
        <v>25</v>
      </c>
      <c r="C13" s="2" t="s">
        <v>26</v>
      </c>
      <c r="D13" s="3">
        <f>COUNTIF('Récap'!D:D,A13)</f>
        <v>24</v>
      </c>
    </row>
    <row r="14">
      <c r="A14" s="3" t="s">
        <v>27</v>
      </c>
      <c r="B14" s="2" t="s">
        <v>28</v>
      </c>
      <c r="C14" s="2" t="s">
        <v>29</v>
      </c>
      <c r="D14" s="3">
        <f>COUNTIF('Récap'!D:D,A14)</f>
        <v>8</v>
      </c>
    </row>
    <row r="15">
      <c r="A15" s="3" t="s">
        <v>30</v>
      </c>
      <c r="B15" s="2" t="s">
        <v>31</v>
      </c>
      <c r="C15" s="2" t="s">
        <v>32</v>
      </c>
      <c r="D15" s="3">
        <f>COUNTIF('Récap'!D:D,A15)</f>
        <v>9</v>
      </c>
    </row>
    <row r="16">
      <c r="A16" s="3" t="s">
        <v>33</v>
      </c>
      <c r="B16" s="2" t="s">
        <v>34</v>
      </c>
      <c r="C16" s="2" t="s">
        <v>35</v>
      </c>
      <c r="D16" s="3">
        <f>COUNTIF('Récap'!D:D,A16)</f>
        <v>35</v>
      </c>
    </row>
  </sheetData>
  <conditionalFormatting sqref="A11:A16">
    <cfRule type="cellIs" dxfId="3" priority="1" operator="equal">
      <formula>"Efficace"</formula>
    </cfRule>
  </conditionalFormatting>
  <conditionalFormatting sqref="A11:A16">
    <cfRule type="cellIs" dxfId="4" priority="2" operator="equal">
      <formula>"Peu actif"</formula>
    </cfRule>
  </conditionalFormatting>
  <conditionalFormatting sqref="A11:A16">
    <cfRule type="cellIs" dxfId="5" priority="3" operator="equal">
      <formula>"Intermédiaire"</formula>
    </cfRule>
  </conditionalFormatting>
  <conditionalFormatting sqref="A11:A16">
    <cfRule type="cellIs" dxfId="6" priority="4" operator="equal">
      <formula>"Sporadique"</formula>
    </cfRule>
  </conditionalFormatting>
  <conditionalFormatting sqref="A11:A16">
    <cfRule type="cellIs" dxfId="7" priority="5" operator="equal">
      <formula>"Persévérant"</formula>
    </cfRule>
  </conditionalFormatting>
  <conditionalFormatting sqref="A11:A16">
    <cfRule type="cellIs" dxfId="8" priority="6" operator="equal">
      <formula>"Bloqué"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</v>
      </c>
      <c r="B1" s="2" t="s">
        <v>37</v>
      </c>
      <c r="C1" s="2" t="s">
        <v>38</v>
      </c>
      <c r="D1" s="2" t="s">
        <v>39</v>
      </c>
    </row>
    <row r="2">
      <c r="A2" s="2" t="s">
        <v>40</v>
      </c>
      <c r="B2" s="2" t="s">
        <v>41</v>
      </c>
      <c r="C2" s="14" t="s">
        <v>42</v>
      </c>
      <c r="D2" s="2" t="s">
        <v>43</v>
      </c>
    </row>
    <row r="3">
      <c r="A3" s="2" t="s">
        <v>44</v>
      </c>
      <c r="B3" s="2" t="s">
        <v>45</v>
      </c>
      <c r="C3" s="14" t="s">
        <v>46</v>
      </c>
      <c r="D3" s="2" t="s">
        <v>47</v>
      </c>
    </row>
    <row r="4">
      <c r="A4" s="2" t="s">
        <v>48</v>
      </c>
      <c r="B4" s="2" t="s">
        <v>49</v>
      </c>
      <c r="C4" s="14" t="s">
        <v>50</v>
      </c>
      <c r="D4" s="2" t="s">
        <v>51</v>
      </c>
    </row>
    <row r="5">
      <c r="A5" s="2" t="s">
        <v>52</v>
      </c>
      <c r="B5" s="2" t="s">
        <v>53</v>
      </c>
      <c r="C5" s="14" t="s">
        <v>54</v>
      </c>
      <c r="D5" s="2" t="s">
        <v>55</v>
      </c>
    </row>
    <row r="6">
      <c r="A6" s="2" t="s">
        <v>56</v>
      </c>
      <c r="B6" s="2" t="s">
        <v>57</v>
      </c>
      <c r="C6" s="14" t="s">
        <v>58</v>
      </c>
      <c r="D6" s="2" t="s">
        <v>59</v>
      </c>
    </row>
    <row r="7">
      <c r="A7" s="2" t="s">
        <v>60</v>
      </c>
      <c r="B7" s="2" t="s">
        <v>61</v>
      </c>
      <c r="C7" s="14" t="s">
        <v>62</v>
      </c>
      <c r="D7" s="2" t="s">
        <v>63</v>
      </c>
    </row>
    <row r="8">
      <c r="A8" s="2" t="s">
        <v>64</v>
      </c>
      <c r="B8" s="2" t="s">
        <v>65</v>
      </c>
      <c r="C8" s="14" t="s">
        <v>66</v>
      </c>
      <c r="D8" s="2" t="s">
        <v>67</v>
      </c>
    </row>
    <row r="9">
      <c r="A9" s="2" t="s">
        <v>68</v>
      </c>
      <c r="B9" s="2" t="s">
        <v>69</v>
      </c>
      <c r="C9" s="14" t="s">
        <v>70</v>
      </c>
      <c r="D9" s="2" t="s">
        <v>71</v>
      </c>
    </row>
    <row r="10">
      <c r="A10" s="2" t="s">
        <v>72</v>
      </c>
      <c r="B10" s="2" t="s">
        <v>73</v>
      </c>
      <c r="C10" s="14" t="s">
        <v>74</v>
      </c>
      <c r="D10" s="2" t="s">
        <v>75</v>
      </c>
    </row>
    <row r="11">
      <c r="A11" s="2" t="s">
        <v>76</v>
      </c>
      <c r="B11" s="2" t="s">
        <v>77</v>
      </c>
      <c r="C11" s="14" t="s">
        <v>78</v>
      </c>
      <c r="D11" s="2" t="s">
        <v>79</v>
      </c>
    </row>
    <row r="12">
      <c r="A12" s="2" t="s">
        <v>80</v>
      </c>
      <c r="B12" s="2" t="s">
        <v>81</v>
      </c>
      <c r="C12" s="14" t="s">
        <v>82</v>
      </c>
      <c r="D12" s="2" t="s">
        <v>83</v>
      </c>
    </row>
    <row r="13">
      <c r="A13" s="2" t="s">
        <v>84</v>
      </c>
      <c r="B13" s="2" t="s">
        <v>85</v>
      </c>
      <c r="C13" s="14" t="s">
        <v>86</v>
      </c>
      <c r="D13" s="2" t="s">
        <v>87</v>
      </c>
    </row>
    <row r="14">
      <c r="A14" s="2" t="s">
        <v>88</v>
      </c>
      <c r="B14" s="2" t="s">
        <v>89</v>
      </c>
      <c r="C14" s="14" t="s">
        <v>90</v>
      </c>
      <c r="D14" s="2" t="s">
        <v>91</v>
      </c>
    </row>
    <row r="15">
      <c r="A15" s="2" t="s">
        <v>92</v>
      </c>
      <c r="B15" s="2" t="s">
        <v>93</v>
      </c>
      <c r="C15" s="14" t="s">
        <v>94</v>
      </c>
      <c r="D15" s="2" t="s">
        <v>95</v>
      </c>
    </row>
    <row r="16">
      <c r="A16" s="2" t="s">
        <v>96</v>
      </c>
      <c r="B16" s="2" t="s">
        <v>97</v>
      </c>
      <c r="C16" s="14" t="s">
        <v>98</v>
      </c>
      <c r="D16" s="2" t="s">
        <v>99</v>
      </c>
    </row>
    <row r="17">
      <c r="A17" s="2" t="s">
        <v>100</v>
      </c>
      <c r="B17" s="2" t="s">
        <v>101</v>
      </c>
      <c r="C17" s="14" t="s">
        <v>102</v>
      </c>
      <c r="D17" s="2" t="s">
        <v>103</v>
      </c>
    </row>
    <row r="18">
      <c r="A18" s="2" t="s">
        <v>104</v>
      </c>
      <c r="B18" s="2" t="s">
        <v>105</v>
      </c>
      <c r="C18" s="14" t="s">
        <v>106</v>
      </c>
      <c r="D18" s="2" t="s">
        <v>107</v>
      </c>
    </row>
    <row r="19">
      <c r="A19" s="2" t="s">
        <v>108</v>
      </c>
      <c r="B19" s="2" t="s">
        <v>109</v>
      </c>
      <c r="C19" s="14" t="s">
        <v>110</v>
      </c>
      <c r="D19" s="2" t="s">
        <v>111</v>
      </c>
    </row>
    <row r="20">
      <c r="A20" s="2" t="s">
        <v>112</v>
      </c>
      <c r="B20" s="2" t="s">
        <v>113</v>
      </c>
      <c r="C20" s="14" t="s">
        <v>114</v>
      </c>
      <c r="D20" s="2" t="s">
        <v>115</v>
      </c>
    </row>
    <row r="21">
      <c r="A21" s="2" t="s">
        <v>116</v>
      </c>
      <c r="B21" s="2" t="s">
        <v>117</v>
      </c>
      <c r="C21" s="14" t="s">
        <v>118</v>
      </c>
      <c r="D21" s="2" t="s">
        <v>119</v>
      </c>
    </row>
    <row r="22">
      <c r="A22" s="2" t="s">
        <v>120</v>
      </c>
      <c r="B22" s="2" t="s">
        <v>121</v>
      </c>
      <c r="C22" s="14" t="s">
        <v>122</v>
      </c>
      <c r="D22" s="2" t="s">
        <v>123</v>
      </c>
    </row>
    <row r="23">
      <c r="A23" s="2" t="s">
        <v>124</v>
      </c>
      <c r="B23" s="2" t="s">
        <v>125</v>
      </c>
      <c r="C23" s="14" t="s">
        <v>126</v>
      </c>
      <c r="D23" s="2" t="s">
        <v>127</v>
      </c>
    </row>
    <row r="24">
      <c r="A24" s="2" t="s">
        <v>128</v>
      </c>
      <c r="B24" s="2" t="s">
        <v>129</v>
      </c>
      <c r="C24" s="14" t="s">
        <v>130</v>
      </c>
      <c r="D24" s="2" t="s">
        <v>131</v>
      </c>
    </row>
    <row r="25">
      <c r="A25" s="2" t="s">
        <v>132</v>
      </c>
      <c r="B25" s="2" t="s">
        <v>133</v>
      </c>
      <c r="C25" s="14" t="s">
        <v>134</v>
      </c>
      <c r="D25" s="2" t="s">
        <v>135</v>
      </c>
    </row>
    <row r="26">
      <c r="A26" s="2" t="s">
        <v>136</v>
      </c>
      <c r="B26" s="2" t="s">
        <v>137</v>
      </c>
      <c r="C26" s="14" t="s">
        <v>138</v>
      </c>
      <c r="D26" s="2" t="s">
        <v>139</v>
      </c>
    </row>
    <row r="27">
      <c r="A27" s="2" t="s">
        <v>140</v>
      </c>
      <c r="B27" s="2" t="s">
        <v>141</v>
      </c>
      <c r="C27" s="14" t="s">
        <v>142</v>
      </c>
      <c r="D27" s="2" t="s">
        <v>143</v>
      </c>
    </row>
    <row r="28">
      <c r="A28" s="2" t="s">
        <v>144</v>
      </c>
      <c r="B28" s="2" t="s">
        <v>145</v>
      </c>
      <c r="C28" s="14" t="s">
        <v>146</v>
      </c>
      <c r="D28" s="2" t="s">
        <v>147</v>
      </c>
    </row>
    <row r="29">
      <c r="A29" s="2" t="s">
        <v>148</v>
      </c>
      <c r="B29" s="2" t="s">
        <v>149</v>
      </c>
      <c r="C29" s="14" t="s">
        <v>150</v>
      </c>
      <c r="D29" s="2" t="s">
        <v>151</v>
      </c>
    </row>
    <row r="30">
      <c r="A30" s="2" t="s">
        <v>152</v>
      </c>
      <c r="B30" s="2" t="s">
        <v>153</v>
      </c>
      <c r="C30" s="14" t="s">
        <v>154</v>
      </c>
      <c r="D30" s="2" t="s">
        <v>155</v>
      </c>
    </row>
    <row r="31">
      <c r="A31" s="2" t="s">
        <v>156</v>
      </c>
      <c r="B31" s="2" t="s">
        <v>157</v>
      </c>
      <c r="C31" s="14" t="s">
        <v>158</v>
      </c>
      <c r="D31" s="2" t="s">
        <v>159</v>
      </c>
    </row>
    <row r="32">
      <c r="A32" s="2" t="s">
        <v>160</v>
      </c>
      <c r="B32" s="2" t="s">
        <v>161</v>
      </c>
      <c r="C32" s="14" t="s">
        <v>162</v>
      </c>
      <c r="D32" s="2" t="s">
        <v>163</v>
      </c>
    </row>
    <row r="33">
      <c r="A33" s="2" t="s">
        <v>164</v>
      </c>
      <c r="B33" s="2" t="s">
        <v>165</v>
      </c>
      <c r="C33" s="14" t="s">
        <v>166</v>
      </c>
      <c r="D33" s="2" t="s">
        <v>167</v>
      </c>
    </row>
    <row r="34">
      <c r="A34" s="2" t="s">
        <v>168</v>
      </c>
      <c r="B34" s="2" t="s">
        <v>169</v>
      </c>
      <c r="C34" s="14" t="s">
        <v>170</v>
      </c>
      <c r="D34" s="2" t="s">
        <v>171</v>
      </c>
    </row>
    <row r="35">
      <c r="A35" s="2" t="s">
        <v>172</v>
      </c>
      <c r="B35" s="2" t="s">
        <v>173</v>
      </c>
      <c r="C35" s="14" t="s">
        <v>174</v>
      </c>
      <c r="D35" s="2" t="s">
        <v>175</v>
      </c>
    </row>
    <row r="36">
      <c r="A36" s="2" t="s">
        <v>176</v>
      </c>
      <c r="B36" s="2" t="s">
        <v>177</v>
      </c>
      <c r="C36" s="14" t="s">
        <v>178</v>
      </c>
      <c r="D36" s="2" t="s">
        <v>179</v>
      </c>
    </row>
    <row r="37">
      <c r="A37" s="2" t="s">
        <v>180</v>
      </c>
      <c r="B37" s="2" t="s">
        <v>181</v>
      </c>
      <c r="C37" s="14" t="s">
        <v>182</v>
      </c>
      <c r="D37" s="2" t="s">
        <v>183</v>
      </c>
    </row>
    <row r="38">
      <c r="A38" s="2" t="s">
        <v>184</v>
      </c>
      <c r="B38" s="2" t="s">
        <v>185</v>
      </c>
      <c r="C38" s="14" t="s">
        <v>186</v>
      </c>
      <c r="D38" s="2" t="s">
        <v>187</v>
      </c>
    </row>
    <row r="39">
      <c r="A39" s="2" t="s">
        <v>188</v>
      </c>
      <c r="B39" s="2" t="s">
        <v>189</v>
      </c>
      <c r="C39" s="14" t="s">
        <v>190</v>
      </c>
      <c r="D39" s="2" t="s">
        <v>191</v>
      </c>
    </row>
    <row r="40">
      <c r="A40" s="2" t="s">
        <v>192</v>
      </c>
      <c r="B40" s="2" t="s">
        <v>193</v>
      </c>
      <c r="C40" s="14" t="s">
        <v>194</v>
      </c>
      <c r="D40" s="2" t="s">
        <v>195</v>
      </c>
    </row>
    <row r="41">
      <c r="A41" s="2" t="s">
        <v>196</v>
      </c>
      <c r="B41" s="2" t="s">
        <v>197</v>
      </c>
      <c r="C41" s="14" t="s">
        <v>198</v>
      </c>
      <c r="D41" s="2" t="s">
        <v>199</v>
      </c>
    </row>
    <row r="42">
      <c r="A42" s="2" t="s">
        <v>200</v>
      </c>
      <c r="B42" s="2" t="s">
        <v>201</v>
      </c>
      <c r="C42" s="14" t="s">
        <v>202</v>
      </c>
      <c r="D42" s="2" t="s">
        <v>203</v>
      </c>
    </row>
    <row r="43">
      <c r="A43" s="2" t="s">
        <v>204</v>
      </c>
      <c r="B43" s="2" t="s">
        <v>205</v>
      </c>
      <c r="C43" s="14" t="s">
        <v>206</v>
      </c>
      <c r="D43" s="2" t="s">
        <v>207</v>
      </c>
    </row>
    <row r="44">
      <c r="A44" s="2" t="s">
        <v>208</v>
      </c>
      <c r="B44" s="2" t="s">
        <v>209</v>
      </c>
      <c r="C44" s="14" t="s">
        <v>210</v>
      </c>
      <c r="D44" s="2" t="s">
        <v>211</v>
      </c>
    </row>
    <row r="45">
      <c r="A45" s="2" t="s">
        <v>212</v>
      </c>
      <c r="B45" s="2" t="s">
        <v>213</v>
      </c>
      <c r="C45" s="14" t="s">
        <v>214</v>
      </c>
      <c r="D45" s="2" t="s">
        <v>215</v>
      </c>
    </row>
    <row r="46">
      <c r="A46" s="2" t="s">
        <v>216</v>
      </c>
      <c r="B46" s="2" t="s">
        <v>217</v>
      </c>
      <c r="C46" s="14" t="s">
        <v>218</v>
      </c>
      <c r="D46" s="2" t="s">
        <v>219</v>
      </c>
    </row>
    <row r="47">
      <c r="A47" s="2" t="s">
        <v>220</v>
      </c>
      <c r="B47" s="2" t="s">
        <v>221</v>
      </c>
      <c r="C47" s="14" t="s">
        <v>222</v>
      </c>
      <c r="D47" s="2" t="s">
        <v>223</v>
      </c>
    </row>
    <row r="48">
      <c r="A48" s="2" t="s">
        <v>224</v>
      </c>
      <c r="B48" s="2" t="s">
        <v>225</v>
      </c>
      <c r="C48" s="14" t="s">
        <v>226</v>
      </c>
      <c r="D48" s="2" t="s">
        <v>227</v>
      </c>
    </row>
    <row r="49">
      <c r="A49" s="2" t="s">
        <v>228</v>
      </c>
      <c r="B49" s="2" t="s">
        <v>229</v>
      </c>
      <c r="C49" s="14" t="s">
        <v>230</v>
      </c>
      <c r="D49" s="2" t="s">
        <v>231</v>
      </c>
    </row>
    <row r="50">
      <c r="A50" s="2" t="s">
        <v>232</v>
      </c>
      <c r="B50" s="2" t="s">
        <v>233</v>
      </c>
      <c r="C50" s="14" t="s">
        <v>234</v>
      </c>
      <c r="D50" s="2" t="s">
        <v>235</v>
      </c>
    </row>
    <row r="51">
      <c r="A51" s="2" t="s">
        <v>236</v>
      </c>
      <c r="B51" s="2" t="s">
        <v>237</v>
      </c>
      <c r="C51" s="14" t="s">
        <v>238</v>
      </c>
      <c r="D51" s="2" t="s">
        <v>239</v>
      </c>
    </row>
    <row r="52">
      <c r="A52" s="2" t="s">
        <v>240</v>
      </c>
      <c r="B52" s="2" t="s">
        <v>241</v>
      </c>
      <c r="C52" s="14" t="s">
        <v>242</v>
      </c>
      <c r="D52" s="2" t="s">
        <v>243</v>
      </c>
    </row>
    <row r="53">
      <c r="A53" s="2" t="s">
        <v>244</v>
      </c>
      <c r="B53" s="2" t="s">
        <v>245</v>
      </c>
      <c r="C53" s="14" t="s">
        <v>246</v>
      </c>
      <c r="D53" s="2" t="s">
        <v>247</v>
      </c>
    </row>
    <row r="54">
      <c r="A54" s="2" t="s">
        <v>248</v>
      </c>
      <c r="B54" s="2" t="s">
        <v>249</v>
      </c>
      <c r="C54" s="14" t="s">
        <v>250</v>
      </c>
      <c r="D54" s="2" t="s">
        <v>251</v>
      </c>
    </row>
    <row r="55">
      <c r="A55" s="2" t="s">
        <v>252</v>
      </c>
      <c r="B55" s="2" t="s">
        <v>253</v>
      </c>
      <c r="C55" s="14" t="s">
        <v>254</v>
      </c>
      <c r="D55" s="2" t="s">
        <v>255</v>
      </c>
    </row>
    <row r="56">
      <c r="A56" s="2" t="s">
        <v>256</v>
      </c>
      <c r="B56" s="2" t="s">
        <v>257</v>
      </c>
      <c r="C56" s="14" t="s">
        <v>258</v>
      </c>
      <c r="D56" s="2" t="s">
        <v>259</v>
      </c>
    </row>
    <row r="57">
      <c r="A57" s="2" t="s">
        <v>260</v>
      </c>
      <c r="B57" s="2" t="s">
        <v>261</v>
      </c>
      <c r="C57" s="14" t="s">
        <v>262</v>
      </c>
      <c r="D57" s="2" t="s">
        <v>263</v>
      </c>
    </row>
    <row r="58">
      <c r="A58" s="2" t="s">
        <v>264</v>
      </c>
      <c r="B58" s="2" t="s">
        <v>265</v>
      </c>
      <c r="C58" s="14" t="s">
        <v>266</v>
      </c>
      <c r="D58" s="2" t="s">
        <v>267</v>
      </c>
    </row>
    <row r="59">
      <c r="A59" s="2" t="s">
        <v>268</v>
      </c>
      <c r="B59" s="2" t="s">
        <v>269</v>
      </c>
      <c r="C59" s="14" t="s">
        <v>270</v>
      </c>
      <c r="D59" s="2" t="s">
        <v>271</v>
      </c>
    </row>
    <row r="60">
      <c r="A60" s="2" t="s">
        <v>272</v>
      </c>
      <c r="B60" s="2" t="s">
        <v>273</v>
      </c>
      <c r="C60" s="14" t="s">
        <v>274</v>
      </c>
      <c r="D60" s="2" t="s">
        <v>275</v>
      </c>
    </row>
    <row r="61">
      <c r="A61" s="2" t="s">
        <v>276</v>
      </c>
      <c r="B61" s="2" t="s">
        <v>277</v>
      </c>
      <c r="C61" s="14" t="s">
        <v>278</v>
      </c>
      <c r="D61" s="2" t="s">
        <v>279</v>
      </c>
    </row>
    <row r="62">
      <c r="A62" s="2" t="s">
        <v>280</v>
      </c>
      <c r="B62" s="2" t="s">
        <v>281</v>
      </c>
      <c r="C62" s="14" t="s">
        <v>282</v>
      </c>
      <c r="D62" s="2" t="s">
        <v>283</v>
      </c>
    </row>
    <row r="63">
      <c r="A63" s="2" t="s">
        <v>284</v>
      </c>
      <c r="B63" s="2" t="s">
        <v>285</v>
      </c>
      <c r="C63" s="14" t="s">
        <v>286</v>
      </c>
      <c r="D63" s="2" t="s">
        <v>287</v>
      </c>
    </row>
    <row r="64">
      <c r="A64" s="2" t="s">
        <v>288</v>
      </c>
      <c r="B64" s="2" t="s">
        <v>289</v>
      </c>
      <c r="C64" s="14" t="s">
        <v>290</v>
      </c>
      <c r="D64" s="2" t="s">
        <v>291</v>
      </c>
    </row>
    <row r="65">
      <c r="A65" s="2" t="s">
        <v>292</v>
      </c>
      <c r="B65" s="2" t="s">
        <v>293</v>
      </c>
      <c r="C65" s="14" t="s">
        <v>294</v>
      </c>
      <c r="D65" s="2" t="s">
        <v>295</v>
      </c>
    </row>
    <row r="66">
      <c r="A66" s="2" t="s">
        <v>296</v>
      </c>
      <c r="B66" s="2" t="s">
        <v>297</v>
      </c>
      <c r="C66" s="14" t="s">
        <v>298</v>
      </c>
      <c r="D66" s="2" t="s">
        <v>299</v>
      </c>
    </row>
    <row r="67">
      <c r="A67" s="2" t="s">
        <v>300</v>
      </c>
      <c r="B67" s="2" t="s">
        <v>301</v>
      </c>
      <c r="C67" s="14" t="s">
        <v>302</v>
      </c>
      <c r="D67" s="2" t="s">
        <v>303</v>
      </c>
    </row>
    <row r="68">
      <c r="A68" s="2" t="s">
        <v>304</v>
      </c>
      <c r="B68" s="2" t="s">
        <v>305</v>
      </c>
      <c r="C68" s="14" t="s">
        <v>306</v>
      </c>
      <c r="D68" s="2" t="s">
        <v>307</v>
      </c>
    </row>
    <row r="69">
      <c r="A69" s="2" t="s">
        <v>308</v>
      </c>
      <c r="B69" s="2" t="s">
        <v>309</v>
      </c>
      <c r="C69" s="14" t="s">
        <v>310</v>
      </c>
      <c r="D69" s="2" t="s">
        <v>311</v>
      </c>
    </row>
    <row r="70">
      <c r="A70" s="2" t="s">
        <v>312</v>
      </c>
      <c r="B70" s="2" t="s">
        <v>313</v>
      </c>
      <c r="C70" s="14" t="s">
        <v>314</v>
      </c>
      <c r="D70" s="2" t="s">
        <v>315</v>
      </c>
    </row>
    <row r="71">
      <c r="A71" s="2" t="s">
        <v>316</v>
      </c>
      <c r="B71" s="2" t="s">
        <v>317</v>
      </c>
      <c r="C71" s="14" t="s">
        <v>318</v>
      </c>
      <c r="D71" s="2" t="s">
        <v>319</v>
      </c>
    </row>
    <row r="72">
      <c r="A72" s="2" t="s">
        <v>320</v>
      </c>
      <c r="B72" s="2" t="s">
        <v>321</v>
      </c>
      <c r="C72" s="14" t="s">
        <v>322</v>
      </c>
      <c r="D72" s="2" t="s">
        <v>323</v>
      </c>
    </row>
    <row r="73">
      <c r="A73" s="2" t="s">
        <v>324</v>
      </c>
      <c r="B73" s="2" t="s">
        <v>325</v>
      </c>
      <c r="C73" s="14" t="s">
        <v>326</v>
      </c>
      <c r="D73" s="2" t="s">
        <v>327</v>
      </c>
    </row>
    <row r="74">
      <c r="A74" s="2" t="s">
        <v>328</v>
      </c>
      <c r="B74" s="2" t="s">
        <v>329</v>
      </c>
      <c r="C74" s="14" t="s">
        <v>330</v>
      </c>
      <c r="D74" s="2" t="s">
        <v>331</v>
      </c>
    </row>
    <row r="75">
      <c r="A75" s="2" t="s">
        <v>332</v>
      </c>
      <c r="B75" s="2" t="s">
        <v>333</v>
      </c>
      <c r="C75" s="14" t="s">
        <v>334</v>
      </c>
      <c r="D75" s="2" t="s">
        <v>335</v>
      </c>
    </row>
    <row r="76">
      <c r="A76" s="2" t="s">
        <v>336</v>
      </c>
      <c r="B76" s="2" t="s">
        <v>337</v>
      </c>
      <c r="C76" s="14" t="s">
        <v>338</v>
      </c>
      <c r="D76" s="2" t="s">
        <v>339</v>
      </c>
    </row>
    <row r="77">
      <c r="A77" s="2" t="s">
        <v>340</v>
      </c>
      <c r="B77" s="2" t="s">
        <v>341</v>
      </c>
      <c r="C77" s="14" t="s">
        <v>342</v>
      </c>
      <c r="D77" s="2" t="s">
        <v>343</v>
      </c>
    </row>
    <row r="78">
      <c r="A78" s="2" t="s">
        <v>344</v>
      </c>
      <c r="B78" s="2" t="s">
        <v>345</v>
      </c>
      <c r="C78" s="14" t="s">
        <v>346</v>
      </c>
      <c r="D78" s="2" t="s">
        <v>347</v>
      </c>
    </row>
    <row r="79">
      <c r="A79" s="2" t="s">
        <v>348</v>
      </c>
      <c r="B79" s="2" t="s">
        <v>349</v>
      </c>
      <c r="C79" s="14" t="s">
        <v>350</v>
      </c>
      <c r="D79" s="2" t="s">
        <v>351</v>
      </c>
    </row>
    <row r="80">
      <c r="A80" s="2" t="s">
        <v>352</v>
      </c>
      <c r="B80" s="2" t="s">
        <v>353</v>
      </c>
      <c r="C80" s="14" t="s">
        <v>354</v>
      </c>
      <c r="D80" s="2" t="s">
        <v>355</v>
      </c>
    </row>
    <row r="81">
      <c r="A81" s="2" t="s">
        <v>356</v>
      </c>
      <c r="B81" s="2" t="s">
        <v>357</v>
      </c>
      <c r="C81" s="14" t="s">
        <v>358</v>
      </c>
      <c r="D81" s="2" t="s">
        <v>359</v>
      </c>
    </row>
    <row r="82">
      <c r="A82" s="2" t="s">
        <v>360</v>
      </c>
      <c r="B82" s="2" t="s">
        <v>361</v>
      </c>
      <c r="C82" s="14" t="s">
        <v>362</v>
      </c>
      <c r="D82" s="2" t="s">
        <v>363</v>
      </c>
    </row>
    <row r="83">
      <c r="A83" s="2" t="s">
        <v>364</v>
      </c>
      <c r="B83" s="2" t="s">
        <v>365</v>
      </c>
      <c r="C83" s="14" t="s">
        <v>366</v>
      </c>
      <c r="D83" s="2" t="s">
        <v>367</v>
      </c>
    </row>
    <row r="84">
      <c r="A84" s="2" t="s">
        <v>368</v>
      </c>
      <c r="B84" s="2" t="s">
        <v>369</v>
      </c>
      <c r="C84" s="14" t="s">
        <v>370</v>
      </c>
      <c r="D84" s="2" t="s">
        <v>371</v>
      </c>
    </row>
    <row r="85">
      <c r="A85" s="2" t="s">
        <v>372</v>
      </c>
      <c r="B85" s="2" t="s">
        <v>373</v>
      </c>
      <c r="C85" s="14" t="s">
        <v>374</v>
      </c>
      <c r="D85" s="2" t="s">
        <v>375</v>
      </c>
    </row>
    <row r="86">
      <c r="A86" s="2" t="s">
        <v>376</v>
      </c>
      <c r="B86" s="2" t="s">
        <v>377</v>
      </c>
      <c r="C86" s="14" t="s">
        <v>378</v>
      </c>
      <c r="D86" s="2" t="s">
        <v>379</v>
      </c>
    </row>
    <row r="87">
      <c r="A87" s="2" t="s">
        <v>380</v>
      </c>
      <c r="B87" s="2" t="s">
        <v>381</v>
      </c>
      <c r="C87" s="14" t="s">
        <v>382</v>
      </c>
      <c r="D87" s="2" t="s">
        <v>383</v>
      </c>
    </row>
    <row r="88">
      <c r="A88" s="2" t="s">
        <v>384</v>
      </c>
      <c r="B88" s="2" t="s">
        <v>385</v>
      </c>
      <c r="C88" s="14" t="s">
        <v>386</v>
      </c>
      <c r="D88" s="2" t="s">
        <v>387</v>
      </c>
    </row>
    <row r="89">
      <c r="A89" s="2" t="s">
        <v>388</v>
      </c>
      <c r="B89" s="2" t="s">
        <v>389</v>
      </c>
      <c r="C89" s="14" t="s">
        <v>390</v>
      </c>
      <c r="D89" s="2" t="s">
        <v>391</v>
      </c>
    </row>
    <row r="90">
      <c r="A90" s="2" t="s">
        <v>392</v>
      </c>
      <c r="B90" s="2" t="s">
        <v>393</v>
      </c>
      <c r="C90" s="14" t="s">
        <v>394</v>
      </c>
      <c r="D90" s="2" t="s">
        <v>395</v>
      </c>
    </row>
    <row r="91">
      <c r="A91" s="2" t="s">
        <v>396</v>
      </c>
      <c r="B91" s="2" t="s">
        <v>397</v>
      </c>
      <c r="C91" s="14" t="s">
        <v>398</v>
      </c>
      <c r="D91" s="2" t="s">
        <v>399</v>
      </c>
    </row>
    <row r="92">
      <c r="A92" s="2" t="s">
        <v>400</v>
      </c>
      <c r="B92" s="2" t="s">
        <v>401</v>
      </c>
      <c r="C92" s="14" t="s">
        <v>402</v>
      </c>
      <c r="D92" s="2" t="s">
        <v>403</v>
      </c>
    </row>
    <row r="93">
      <c r="A93" s="2" t="s">
        <v>404</v>
      </c>
      <c r="B93" s="2" t="s">
        <v>405</v>
      </c>
      <c r="C93" s="14" t="s">
        <v>406</v>
      </c>
      <c r="D93" s="2" t="s">
        <v>407</v>
      </c>
    </row>
    <row r="94">
      <c r="A94" s="2" t="s">
        <v>408</v>
      </c>
      <c r="B94" s="2" t="s">
        <v>409</v>
      </c>
      <c r="C94" s="14" t="s">
        <v>410</v>
      </c>
      <c r="D94" s="2" t="s">
        <v>411</v>
      </c>
    </row>
    <row r="95">
      <c r="A95" s="2" t="s">
        <v>412</v>
      </c>
      <c r="B95" s="2" t="s">
        <v>413</v>
      </c>
      <c r="C95" s="14" t="s">
        <v>414</v>
      </c>
      <c r="D95" s="2" t="s">
        <v>415</v>
      </c>
    </row>
    <row r="96">
      <c r="A96" s="2" t="s">
        <v>416</v>
      </c>
      <c r="B96" s="2" t="s">
        <v>417</v>
      </c>
      <c r="C96" s="14" t="s">
        <v>418</v>
      </c>
      <c r="D96" s="2" t="s">
        <v>419</v>
      </c>
    </row>
    <row r="97">
      <c r="A97" s="2" t="s">
        <v>420</v>
      </c>
      <c r="B97" s="2" t="s">
        <v>421</v>
      </c>
      <c r="C97" s="14" t="s">
        <v>422</v>
      </c>
      <c r="D97" s="2" t="s">
        <v>423</v>
      </c>
    </row>
    <row r="98">
      <c r="A98" s="2" t="s">
        <v>424</v>
      </c>
      <c r="B98" s="2" t="s">
        <v>425</v>
      </c>
      <c r="C98" s="14" t="s">
        <v>426</v>
      </c>
      <c r="D98" s="2" t="s">
        <v>427</v>
      </c>
    </row>
    <row r="99">
      <c r="A99" s="2" t="s">
        <v>428</v>
      </c>
      <c r="B99" s="2" t="s">
        <v>429</v>
      </c>
      <c r="C99" s="14" t="s">
        <v>430</v>
      </c>
      <c r="D99" s="2" t="s">
        <v>431</v>
      </c>
    </row>
    <row r="100">
      <c r="A100" s="2" t="s">
        <v>432</v>
      </c>
      <c r="B100" s="2" t="s">
        <v>433</v>
      </c>
      <c r="C100" s="14" t="s">
        <v>434</v>
      </c>
      <c r="D100" s="2" t="s">
        <v>435</v>
      </c>
    </row>
    <row r="101">
      <c r="A101" s="2" t="s">
        <v>436</v>
      </c>
      <c r="B101" s="2" t="s">
        <v>437</v>
      </c>
      <c r="C101" s="14" t="s">
        <v>438</v>
      </c>
      <c r="D101" s="2" t="s">
        <v>439</v>
      </c>
    </row>
    <row r="102">
      <c r="A102" s="2" t="s">
        <v>440</v>
      </c>
      <c r="B102" s="2" t="s">
        <v>441</v>
      </c>
      <c r="C102" s="14" t="s">
        <v>442</v>
      </c>
      <c r="D102" s="2" t="s">
        <v>443</v>
      </c>
    </row>
    <row r="103">
      <c r="A103" s="2" t="s">
        <v>444</v>
      </c>
      <c r="B103" s="2" t="s">
        <v>445</v>
      </c>
      <c r="C103" s="14" t="s">
        <v>446</v>
      </c>
      <c r="D103" s="2" t="s">
        <v>447</v>
      </c>
    </row>
    <row r="104">
      <c r="A104" s="2" t="s">
        <v>448</v>
      </c>
      <c r="B104" s="2" t="s">
        <v>449</v>
      </c>
      <c r="C104" s="14" t="s">
        <v>450</v>
      </c>
      <c r="D104" s="2" t="s">
        <v>451</v>
      </c>
    </row>
    <row r="105">
      <c r="A105" s="2" t="s">
        <v>452</v>
      </c>
      <c r="B105" s="2" t="s">
        <v>453</v>
      </c>
      <c r="C105" s="14" t="s">
        <v>454</v>
      </c>
      <c r="D105" s="2" t="s">
        <v>455</v>
      </c>
    </row>
    <row r="106">
      <c r="A106" s="2" t="s">
        <v>456</v>
      </c>
      <c r="B106" s="2" t="s">
        <v>457</v>
      </c>
      <c r="C106" s="14" t="s">
        <v>458</v>
      </c>
      <c r="D106" s="2" t="s">
        <v>459</v>
      </c>
    </row>
    <row r="107">
      <c r="A107" s="2" t="s">
        <v>460</v>
      </c>
      <c r="B107" s="2" t="s">
        <v>461</v>
      </c>
      <c r="C107" s="14" t="s">
        <v>462</v>
      </c>
      <c r="D107" s="2" t="s">
        <v>463</v>
      </c>
    </row>
    <row r="108">
      <c r="A108" s="2" t="s">
        <v>464</v>
      </c>
      <c r="B108" s="2" t="s">
        <v>465</v>
      </c>
      <c r="C108" s="14" t="s">
        <v>466</v>
      </c>
      <c r="D108" s="2" t="s">
        <v>467</v>
      </c>
    </row>
    <row r="109">
      <c r="A109" s="2" t="s">
        <v>468</v>
      </c>
      <c r="B109" s="2" t="s">
        <v>469</v>
      </c>
      <c r="C109" s="14" t="s">
        <v>470</v>
      </c>
      <c r="D109" s="2" t="s">
        <v>471</v>
      </c>
    </row>
    <row r="110">
      <c r="A110" s="2" t="s">
        <v>472</v>
      </c>
      <c r="B110" s="2" t="s">
        <v>473</v>
      </c>
      <c r="C110" s="14" t="s">
        <v>474</v>
      </c>
      <c r="D110" s="2" t="s">
        <v>475</v>
      </c>
    </row>
    <row r="111">
      <c r="A111" s="2" t="s">
        <v>476</v>
      </c>
      <c r="B111" s="2" t="s">
        <v>477</v>
      </c>
      <c r="C111" s="14" t="s">
        <v>478</v>
      </c>
      <c r="D111" s="2" t="s">
        <v>479</v>
      </c>
    </row>
    <row r="112">
      <c r="A112" s="2" t="s">
        <v>480</v>
      </c>
      <c r="B112" s="2" t="s">
        <v>481</v>
      </c>
      <c r="C112" s="14" t="s">
        <v>482</v>
      </c>
      <c r="D112" s="2" t="s">
        <v>483</v>
      </c>
    </row>
    <row r="113">
      <c r="A113" s="2" t="s">
        <v>484</v>
      </c>
      <c r="B113" s="2" t="s">
        <v>485</v>
      </c>
      <c r="C113" s="14" t="s">
        <v>486</v>
      </c>
      <c r="D113" s="2" t="s">
        <v>487</v>
      </c>
    </row>
    <row r="114">
      <c r="A114" s="2" t="s">
        <v>488</v>
      </c>
      <c r="B114" s="2" t="s">
        <v>489</v>
      </c>
      <c r="C114" s="14" t="s">
        <v>490</v>
      </c>
      <c r="D114" s="2" t="s">
        <v>491</v>
      </c>
    </row>
    <row r="115">
      <c r="A115" s="2" t="s">
        <v>492</v>
      </c>
      <c r="B115" s="2" t="s">
        <v>493</v>
      </c>
      <c r="C115" s="14" t="s">
        <v>494</v>
      </c>
      <c r="D115" s="2" t="s">
        <v>495</v>
      </c>
    </row>
    <row r="116">
      <c r="A116" s="2" t="s">
        <v>496</v>
      </c>
      <c r="B116" s="2" t="s">
        <v>497</v>
      </c>
      <c r="C116" s="14" t="s">
        <v>498</v>
      </c>
      <c r="D116" s="2" t="s">
        <v>499</v>
      </c>
    </row>
    <row r="117">
      <c r="A117" s="2" t="s">
        <v>500</v>
      </c>
      <c r="B117" s="2" t="s">
        <v>501</v>
      </c>
      <c r="C117" s="14" t="s">
        <v>502</v>
      </c>
      <c r="D117" s="2" t="s">
        <v>503</v>
      </c>
    </row>
    <row r="118">
      <c r="A118" s="2" t="s">
        <v>504</v>
      </c>
      <c r="B118" s="2" t="s">
        <v>505</v>
      </c>
      <c r="C118" s="14" t="s">
        <v>506</v>
      </c>
      <c r="D118" s="2" t="s">
        <v>507</v>
      </c>
    </row>
    <row r="119">
      <c r="A119" s="2" t="s">
        <v>508</v>
      </c>
      <c r="B119" s="2" t="s">
        <v>509</v>
      </c>
      <c r="C119" s="14" t="s">
        <v>510</v>
      </c>
      <c r="D119" s="2" t="s">
        <v>511</v>
      </c>
    </row>
    <row r="120">
      <c r="A120" s="2" t="s">
        <v>512</v>
      </c>
      <c r="B120" s="2" t="s">
        <v>513</v>
      </c>
      <c r="C120" s="14" t="s">
        <v>514</v>
      </c>
      <c r="D120" s="2" t="s">
        <v>515</v>
      </c>
    </row>
    <row r="121">
      <c r="A121" s="2" t="s">
        <v>516</v>
      </c>
      <c r="B121" s="2" t="s">
        <v>517</v>
      </c>
      <c r="C121" s="14" t="s">
        <v>518</v>
      </c>
      <c r="D121" s="2" t="s">
        <v>519</v>
      </c>
    </row>
    <row r="122">
      <c r="A122" s="2" t="s">
        <v>520</v>
      </c>
      <c r="B122" s="2" t="s">
        <v>521</v>
      </c>
      <c r="C122" s="14" t="s">
        <v>522</v>
      </c>
      <c r="D122" s="2" t="s">
        <v>523</v>
      </c>
    </row>
    <row r="123">
      <c r="A123" s="2" t="s">
        <v>524</v>
      </c>
      <c r="B123" s="2" t="s">
        <v>525</v>
      </c>
      <c r="C123" s="14" t="s">
        <v>526</v>
      </c>
      <c r="D123" s="2" t="s">
        <v>527</v>
      </c>
    </row>
    <row r="124">
      <c r="A124" s="2" t="s">
        <v>528</v>
      </c>
      <c r="B124" s="2" t="s">
        <v>529</v>
      </c>
      <c r="C124" s="14" t="s">
        <v>530</v>
      </c>
      <c r="D124" s="2" t="s">
        <v>531</v>
      </c>
    </row>
    <row r="125">
      <c r="A125" s="2" t="s">
        <v>532</v>
      </c>
      <c r="B125" s="2" t="s">
        <v>533</v>
      </c>
      <c r="C125" s="14" t="s">
        <v>534</v>
      </c>
      <c r="D125" s="2" t="s">
        <v>535</v>
      </c>
    </row>
    <row r="126">
      <c r="A126" s="2" t="s">
        <v>536</v>
      </c>
      <c r="B126" s="2" t="s">
        <v>537</v>
      </c>
      <c r="C126" s="14" t="s">
        <v>538</v>
      </c>
      <c r="D126" s="2" t="s">
        <v>539</v>
      </c>
    </row>
    <row r="127">
      <c r="A127" s="2" t="s">
        <v>540</v>
      </c>
      <c r="B127" s="2" t="s">
        <v>541</v>
      </c>
      <c r="C127" s="14" t="s">
        <v>542</v>
      </c>
      <c r="D127" s="2" t="s">
        <v>543</v>
      </c>
    </row>
    <row r="128">
      <c r="A128" s="2" t="s">
        <v>544</v>
      </c>
      <c r="B128" s="2" t="s">
        <v>545</v>
      </c>
      <c r="C128" s="14" t="s">
        <v>546</v>
      </c>
      <c r="D128" s="2" t="s">
        <v>547</v>
      </c>
    </row>
    <row r="129">
      <c r="A129" s="2" t="s">
        <v>548</v>
      </c>
      <c r="B129" s="2" t="s">
        <v>549</v>
      </c>
      <c r="C129" s="14" t="s">
        <v>550</v>
      </c>
      <c r="D129" s="2" t="s">
        <v>551</v>
      </c>
    </row>
    <row r="130">
      <c r="A130" s="2" t="s">
        <v>552</v>
      </c>
      <c r="B130" s="2" t="s">
        <v>553</v>
      </c>
      <c r="C130" s="14" t="s">
        <v>554</v>
      </c>
      <c r="D130" s="2" t="s">
        <v>555</v>
      </c>
    </row>
    <row r="131">
      <c r="A131" s="2" t="s">
        <v>556</v>
      </c>
      <c r="B131" s="2" t="s">
        <v>557</v>
      </c>
      <c r="C131" s="14" t="s">
        <v>558</v>
      </c>
      <c r="D131" s="2" t="s">
        <v>559</v>
      </c>
    </row>
    <row r="132">
      <c r="A132" s="2" t="s">
        <v>560</v>
      </c>
      <c r="B132" s="2" t="s">
        <v>561</v>
      </c>
      <c r="C132" s="14" t="s">
        <v>562</v>
      </c>
      <c r="D132" s="2" t="s">
        <v>563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</hyperlinks>
  <drawing r:id="rId13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564</v>
      </c>
    </row>
    <row r="2">
      <c r="A2" s="1" t="s">
        <v>565</v>
      </c>
      <c r="B2" s="1">
        <v>48.5</v>
      </c>
    </row>
    <row r="3">
      <c r="A3" s="1" t="s">
        <v>566</v>
      </c>
      <c r="B3" s="1">
        <v>87.15</v>
      </c>
    </row>
    <row r="4">
      <c r="A4" s="1" t="s">
        <v>567</v>
      </c>
      <c r="B4" s="1">
        <v>44.0</v>
      </c>
    </row>
    <row r="5">
      <c r="A5" s="1" t="s">
        <v>568</v>
      </c>
      <c r="B5" s="1">
        <v>52.03</v>
      </c>
    </row>
    <row r="6">
      <c r="A6" s="1" t="s">
        <v>569</v>
      </c>
      <c r="B6" s="1">
        <v>48.0</v>
      </c>
    </row>
    <row r="7">
      <c r="A7" s="1" t="s">
        <v>570</v>
      </c>
      <c r="B7" s="1">
        <v>80.65</v>
      </c>
    </row>
    <row r="8">
      <c r="A8" s="1" t="s">
        <v>571</v>
      </c>
      <c r="B8" s="1">
        <v>48.56</v>
      </c>
    </row>
    <row r="9">
      <c r="A9" s="1" t="s">
        <v>572</v>
      </c>
      <c r="B9" s="1">
        <v>55.4</v>
      </c>
    </row>
    <row r="10">
      <c r="A10" s="1" t="s">
        <v>573</v>
      </c>
      <c r="B10" s="1">
        <v>19.0</v>
      </c>
    </row>
    <row r="11">
      <c r="A11" s="1" t="s">
        <v>574</v>
      </c>
      <c r="B11" s="1">
        <v>78.66</v>
      </c>
    </row>
    <row r="12">
      <c r="A12" s="1" t="s">
        <v>575</v>
      </c>
      <c r="B12" s="1">
        <v>54.0</v>
      </c>
    </row>
    <row r="13">
      <c r="A13" s="1" t="s">
        <v>576</v>
      </c>
      <c r="B13" s="1">
        <v>32.25</v>
      </c>
    </row>
    <row r="14">
      <c r="A14" s="1" t="s">
        <v>577</v>
      </c>
      <c r="B14" s="1">
        <v>53.44</v>
      </c>
    </row>
    <row r="15">
      <c r="A15" s="1" t="s">
        <v>578</v>
      </c>
      <c r="B15" s="1">
        <v>86.44</v>
      </c>
    </row>
    <row r="16">
      <c r="A16" s="1" t="s">
        <v>579</v>
      </c>
      <c r="B16" s="1">
        <v>68.25</v>
      </c>
    </row>
    <row r="17">
      <c r="A17" s="1" t="s">
        <v>580</v>
      </c>
      <c r="B17" s="1">
        <v>64.75</v>
      </c>
    </row>
    <row r="18">
      <c r="A18" s="1" t="s">
        <v>581</v>
      </c>
      <c r="B18" s="1">
        <v>28.5</v>
      </c>
    </row>
    <row r="19">
      <c r="A19" s="1" t="s">
        <v>582</v>
      </c>
      <c r="B19" s="1">
        <v>66.34</v>
      </c>
    </row>
    <row r="20">
      <c r="A20" s="1" t="s">
        <v>583</v>
      </c>
      <c r="B20" s="1">
        <v>71.44</v>
      </c>
    </row>
    <row r="21">
      <c r="A21" s="1" t="s">
        <v>584</v>
      </c>
      <c r="B21" s="1">
        <v>53.31</v>
      </c>
    </row>
    <row r="22">
      <c r="A22" s="1" t="s">
        <v>585</v>
      </c>
      <c r="B22" s="1">
        <v>52.31</v>
      </c>
    </row>
    <row r="23">
      <c r="A23" s="1" t="s">
        <v>586</v>
      </c>
      <c r="B23" s="1">
        <v>44.25</v>
      </c>
    </row>
    <row r="24">
      <c r="A24" s="1" t="s">
        <v>587</v>
      </c>
      <c r="B24" s="1">
        <v>47.25</v>
      </c>
    </row>
    <row r="25">
      <c r="A25" s="1" t="s">
        <v>588</v>
      </c>
      <c r="B25" s="1">
        <v>28.81</v>
      </c>
    </row>
    <row r="26">
      <c r="A26" s="1" t="s">
        <v>589</v>
      </c>
      <c r="B26" s="1">
        <v>44.5</v>
      </c>
    </row>
    <row r="27">
      <c r="A27" s="1" t="s">
        <v>590</v>
      </c>
      <c r="B27" s="1">
        <v>65.72</v>
      </c>
    </row>
    <row r="28">
      <c r="A28" s="1" t="s">
        <v>591</v>
      </c>
      <c r="B28" s="1">
        <v>77.29</v>
      </c>
    </row>
    <row r="29">
      <c r="A29" s="1" t="s">
        <v>592</v>
      </c>
      <c r="B29" s="1">
        <v>65.97</v>
      </c>
    </row>
    <row r="30">
      <c r="A30" s="1" t="s">
        <v>593</v>
      </c>
      <c r="B30" s="1">
        <v>67.0</v>
      </c>
    </row>
    <row r="31">
      <c r="A31" s="1" t="s">
        <v>594</v>
      </c>
      <c r="B31" s="1">
        <v>49.5</v>
      </c>
    </row>
    <row r="32">
      <c r="A32" s="1" t="s">
        <v>595</v>
      </c>
      <c r="B32" s="1">
        <v>30.06</v>
      </c>
    </row>
    <row r="33">
      <c r="A33" s="1" t="s">
        <v>596</v>
      </c>
      <c r="B33" s="1">
        <v>68.5</v>
      </c>
    </row>
    <row r="34">
      <c r="A34" s="1" t="s">
        <v>597</v>
      </c>
      <c r="B34" s="1">
        <v>77.66</v>
      </c>
    </row>
    <row r="35">
      <c r="A35" s="1" t="s">
        <v>598</v>
      </c>
      <c r="B35" s="1">
        <v>33.0</v>
      </c>
    </row>
    <row r="36">
      <c r="A36" s="1" t="s">
        <v>599</v>
      </c>
      <c r="B36" s="1">
        <v>71.93</v>
      </c>
    </row>
    <row r="37">
      <c r="A37" s="1" t="s">
        <v>600</v>
      </c>
      <c r="B37" s="1">
        <v>83.44</v>
      </c>
    </row>
    <row r="38">
      <c r="A38" s="1" t="s">
        <v>601</v>
      </c>
      <c r="B38" s="1">
        <v>40.5</v>
      </c>
    </row>
    <row r="39">
      <c r="A39" s="1" t="s">
        <v>602</v>
      </c>
      <c r="B39" s="1">
        <v>0.0</v>
      </c>
    </row>
    <row r="40">
      <c r="A40" s="1" t="s">
        <v>603</v>
      </c>
      <c r="B40" s="1">
        <v>62.16</v>
      </c>
    </row>
    <row r="41">
      <c r="A41" s="1" t="s">
        <v>604</v>
      </c>
      <c r="B41" s="1">
        <v>56.0</v>
      </c>
    </row>
    <row r="42">
      <c r="A42" s="1" t="s">
        <v>605</v>
      </c>
      <c r="B42" s="1">
        <v>44.15</v>
      </c>
    </row>
    <row r="43">
      <c r="A43" s="1" t="s">
        <v>606</v>
      </c>
      <c r="B43" s="1">
        <v>82.21</v>
      </c>
    </row>
    <row r="44">
      <c r="A44" s="1" t="s">
        <v>607</v>
      </c>
      <c r="B44" s="1">
        <v>73.05</v>
      </c>
    </row>
    <row r="45">
      <c r="A45" s="1" t="s">
        <v>608</v>
      </c>
      <c r="B45" s="1">
        <v>91.68</v>
      </c>
    </row>
    <row r="46">
      <c r="A46" s="1" t="s">
        <v>609</v>
      </c>
      <c r="B46" s="1">
        <v>55.71</v>
      </c>
    </row>
    <row r="47">
      <c r="A47" s="1" t="s">
        <v>610</v>
      </c>
      <c r="B47" s="1">
        <v>59.38</v>
      </c>
    </row>
    <row r="48">
      <c r="A48" s="1" t="s">
        <v>611</v>
      </c>
      <c r="B48" s="1">
        <v>76.41</v>
      </c>
    </row>
    <row r="49">
      <c r="A49" s="1" t="s">
        <v>612</v>
      </c>
      <c r="B49" s="1">
        <v>59.05</v>
      </c>
    </row>
    <row r="50">
      <c r="A50" s="1" t="s">
        <v>152</v>
      </c>
      <c r="B50" s="1">
        <v>88.53</v>
      </c>
    </row>
    <row r="51">
      <c r="A51" s="1" t="s">
        <v>613</v>
      </c>
      <c r="B51" s="1">
        <v>60.05</v>
      </c>
    </row>
    <row r="52">
      <c r="A52" s="1" t="s">
        <v>614</v>
      </c>
      <c r="B52" s="1">
        <v>48.0</v>
      </c>
    </row>
    <row r="53">
      <c r="A53" s="1" t="s">
        <v>615</v>
      </c>
      <c r="B53" s="1">
        <v>90.66</v>
      </c>
    </row>
    <row r="54">
      <c r="A54" s="1" t="s">
        <v>616</v>
      </c>
      <c r="B54" s="1">
        <v>80.03</v>
      </c>
    </row>
    <row r="55">
      <c r="A55" s="1" t="s">
        <v>617</v>
      </c>
      <c r="B55" s="1">
        <v>58.07</v>
      </c>
    </row>
    <row r="56">
      <c r="A56" s="1" t="s">
        <v>618</v>
      </c>
      <c r="B56" s="1">
        <v>39.94</v>
      </c>
    </row>
    <row r="57">
      <c r="A57" s="1" t="s">
        <v>619</v>
      </c>
      <c r="B57" s="1">
        <v>82.19</v>
      </c>
    </row>
    <row r="58">
      <c r="A58" s="1" t="s">
        <v>620</v>
      </c>
      <c r="B58" s="1">
        <v>89.25</v>
      </c>
    </row>
    <row r="59">
      <c r="A59" s="1" t="s">
        <v>621</v>
      </c>
      <c r="B59" s="1">
        <v>62.7</v>
      </c>
    </row>
    <row r="60">
      <c r="A60" s="1" t="s">
        <v>622</v>
      </c>
      <c r="B60" s="1">
        <v>36.25</v>
      </c>
    </row>
    <row r="61">
      <c r="A61" s="1" t="s">
        <v>623</v>
      </c>
      <c r="B61" s="1">
        <v>44.25</v>
      </c>
    </row>
    <row r="62">
      <c r="A62" s="1" t="s">
        <v>624</v>
      </c>
      <c r="B62" s="1">
        <v>52.16</v>
      </c>
    </row>
    <row r="63">
      <c r="A63" s="1" t="s">
        <v>625</v>
      </c>
      <c r="B63" s="1">
        <v>51.15</v>
      </c>
    </row>
    <row r="64">
      <c r="A64" s="1" t="s">
        <v>626</v>
      </c>
      <c r="B64" s="1">
        <v>94.41</v>
      </c>
    </row>
    <row r="65">
      <c r="A65" s="1" t="s">
        <v>627</v>
      </c>
      <c r="B65" s="1">
        <v>59.25</v>
      </c>
    </row>
    <row r="66">
      <c r="A66" s="1" t="s">
        <v>628</v>
      </c>
      <c r="B66" s="1">
        <v>45.25</v>
      </c>
    </row>
    <row r="67">
      <c r="A67" s="1" t="s">
        <v>629</v>
      </c>
      <c r="B67" s="1">
        <v>61.06</v>
      </c>
    </row>
    <row r="68">
      <c r="A68" s="1" t="s">
        <v>630</v>
      </c>
      <c r="B68" s="1">
        <v>46.5</v>
      </c>
    </row>
    <row r="69">
      <c r="A69" s="1" t="s">
        <v>631</v>
      </c>
      <c r="B69" s="1">
        <v>75.67</v>
      </c>
    </row>
    <row r="70">
      <c r="A70" s="1" t="s">
        <v>632</v>
      </c>
      <c r="B70" s="1">
        <v>75.0</v>
      </c>
    </row>
    <row r="71">
      <c r="A71" s="1" t="s">
        <v>633</v>
      </c>
      <c r="B71" s="1">
        <v>86.84</v>
      </c>
    </row>
    <row r="72">
      <c r="A72" s="1" t="s">
        <v>634</v>
      </c>
      <c r="B72" s="1">
        <v>65.71</v>
      </c>
    </row>
    <row r="73">
      <c r="A73" s="1" t="s">
        <v>635</v>
      </c>
      <c r="B73" s="1">
        <v>94.41</v>
      </c>
    </row>
    <row r="74">
      <c r="A74" s="1" t="s">
        <v>636</v>
      </c>
      <c r="B74" s="1">
        <v>61.31</v>
      </c>
    </row>
    <row r="75">
      <c r="A75" s="1" t="s">
        <v>637</v>
      </c>
      <c r="B75" s="1">
        <v>79.5</v>
      </c>
    </row>
    <row r="76">
      <c r="A76" s="1" t="s">
        <v>638</v>
      </c>
      <c r="B76" s="1">
        <v>79.25</v>
      </c>
    </row>
    <row r="77">
      <c r="A77" s="1" t="s">
        <v>639</v>
      </c>
      <c r="B77" s="1">
        <v>67.18</v>
      </c>
    </row>
    <row r="78">
      <c r="A78" s="1" t="s">
        <v>640</v>
      </c>
      <c r="B78" s="1">
        <v>59.55</v>
      </c>
    </row>
    <row r="79">
      <c r="A79" s="1" t="s">
        <v>641</v>
      </c>
      <c r="B79" s="1">
        <v>33.53</v>
      </c>
    </row>
    <row r="80">
      <c r="A80" s="1" t="s">
        <v>642</v>
      </c>
      <c r="B80" s="1">
        <v>26.78</v>
      </c>
    </row>
    <row r="81">
      <c r="A81" s="1" t="s">
        <v>643</v>
      </c>
      <c r="B81" s="1">
        <v>84.98</v>
      </c>
    </row>
    <row r="82">
      <c r="A82" s="1" t="s">
        <v>644</v>
      </c>
      <c r="B82" s="1">
        <v>84.91</v>
      </c>
    </row>
    <row r="83">
      <c r="A83" s="1" t="s">
        <v>645</v>
      </c>
      <c r="B83" s="1">
        <v>95.25</v>
      </c>
    </row>
    <row r="84">
      <c r="A84" s="1" t="s">
        <v>646</v>
      </c>
      <c r="B84" s="1">
        <v>75.89</v>
      </c>
    </row>
    <row r="85">
      <c r="A85" s="1" t="s">
        <v>647</v>
      </c>
      <c r="B85" s="1">
        <v>64.44</v>
      </c>
    </row>
    <row r="86">
      <c r="A86" s="1" t="s">
        <v>648</v>
      </c>
      <c r="B86" s="1">
        <v>47.19</v>
      </c>
    </row>
    <row r="87">
      <c r="A87" s="1" t="s">
        <v>649</v>
      </c>
      <c r="B87" s="1">
        <v>30.0</v>
      </c>
    </row>
    <row r="88">
      <c r="A88" s="1" t="s">
        <v>650</v>
      </c>
      <c r="B88" s="1">
        <v>42.47</v>
      </c>
    </row>
    <row r="89">
      <c r="A89" s="1" t="s">
        <v>651</v>
      </c>
      <c r="B89" s="1">
        <v>46.25</v>
      </c>
    </row>
    <row r="90">
      <c r="A90" s="1" t="s">
        <v>652</v>
      </c>
      <c r="B90" s="1">
        <v>52.19</v>
      </c>
    </row>
    <row r="91">
      <c r="A91" s="1" t="s">
        <v>653</v>
      </c>
      <c r="B91" s="1">
        <v>58.25</v>
      </c>
    </row>
    <row r="92">
      <c r="A92" s="1" t="s">
        <v>654</v>
      </c>
      <c r="B92" s="1">
        <v>36.16</v>
      </c>
    </row>
    <row r="93">
      <c r="A93" s="1" t="s">
        <v>655</v>
      </c>
      <c r="B93" s="1">
        <v>18.75</v>
      </c>
    </row>
    <row r="94">
      <c r="A94" s="1" t="s">
        <v>656</v>
      </c>
      <c r="B94" s="1">
        <v>51.94</v>
      </c>
    </row>
    <row r="95">
      <c r="A95" s="1" t="s">
        <v>657</v>
      </c>
      <c r="B95" s="1">
        <v>82.51</v>
      </c>
    </row>
    <row r="96">
      <c r="A96" s="1" t="s">
        <v>658</v>
      </c>
      <c r="B96" s="1">
        <v>79.41</v>
      </c>
    </row>
    <row r="97">
      <c r="A97" s="1" t="s">
        <v>659</v>
      </c>
      <c r="B97" s="1">
        <v>86.25</v>
      </c>
    </row>
    <row r="98">
      <c r="A98" s="1" t="s">
        <v>660</v>
      </c>
      <c r="B98" s="1">
        <v>56.69</v>
      </c>
    </row>
    <row r="99">
      <c r="A99" s="1" t="s">
        <v>661</v>
      </c>
      <c r="B99" s="1">
        <v>47.42</v>
      </c>
    </row>
    <row r="100">
      <c r="A100" s="1" t="s">
        <v>136</v>
      </c>
      <c r="B100" s="1">
        <v>48.0</v>
      </c>
    </row>
    <row r="101">
      <c r="A101" s="1" t="s">
        <v>662</v>
      </c>
      <c r="B101" s="1">
        <v>76.99</v>
      </c>
    </row>
    <row r="102">
      <c r="A102" s="1" t="s">
        <v>663</v>
      </c>
      <c r="B102" s="1">
        <v>64.53</v>
      </c>
    </row>
    <row r="103">
      <c r="A103" s="1" t="s">
        <v>664</v>
      </c>
      <c r="B103" s="1">
        <v>52.44</v>
      </c>
    </row>
    <row r="104">
      <c r="A104" s="1" t="s">
        <v>665</v>
      </c>
      <c r="B104" s="1">
        <v>67.75</v>
      </c>
    </row>
    <row r="105">
      <c r="A105" s="1" t="s">
        <v>666</v>
      </c>
      <c r="B105" s="1">
        <v>78.7</v>
      </c>
    </row>
    <row r="106">
      <c r="A106" s="1" t="s">
        <v>667</v>
      </c>
      <c r="B106" s="1">
        <v>48.65</v>
      </c>
    </row>
    <row r="107">
      <c r="A107" s="1" t="s">
        <v>668</v>
      </c>
      <c r="B107" s="1">
        <v>55.44</v>
      </c>
    </row>
    <row r="108">
      <c r="A108" s="1" t="s">
        <v>669</v>
      </c>
      <c r="B108" s="1">
        <v>48.65</v>
      </c>
    </row>
    <row r="109">
      <c r="A109" s="1" t="s">
        <v>670</v>
      </c>
      <c r="B109" s="1">
        <v>43.5</v>
      </c>
    </row>
    <row r="110">
      <c r="A110" s="1" t="s">
        <v>671</v>
      </c>
      <c r="B110" s="1">
        <v>59.46</v>
      </c>
    </row>
    <row r="111">
      <c r="A111" s="1" t="s">
        <v>672</v>
      </c>
      <c r="B111" s="1">
        <v>80.0</v>
      </c>
    </row>
    <row r="112">
      <c r="A112" s="1" t="s">
        <v>540</v>
      </c>
      <c r="B112" s="1">
        <v>0.0</v>
      </c>
    </row>
    <row r="113">
      <c r="A113" s="1" t="s">
        <v>673</v>
      </c>
      <c r="B113" s="1">
        <v>79.94</v>
      </c>
    </row>
    <row r="114">
      <c r="A114" s="1" t="s">
        <v>674</v>
      </c>
      <c r="B114" s="1">
        <v>83.23</v>
      </c>
    </row>
    <row r="115">
      <c r="A115" s="1" t="s">
        <v>675</v>
      </c>
      <c r="B115" s="1">
        <v>25.5</v>
      </c>
    </row>
    <row r="116">
      <c r="A116" s="1" t="s">
        <v>676</v>
      </c>
      <c r="B116" s="1">
        <v>61.15</v>
      </c>
    </row>
    <row r="117">
      <c r="A117" s="1" t="s">
        <v>677</v>
      </c>
      <c r="B117" s="1">
        <v>63.0</v>
      </c>
    </row>
    <row r="118">
      <c r="A118" s="1" t="s">
        <v>678</v>
      </c>
      <c r="B118" s="1">
        <v>54.75</v>
      </c>
    </row>
    <row r="119">
      <c r="A119" s="1" t="s">
        <v>679</v>
      </c>
      <c r="B119" s="1">
        <v>72.21</v>
      </c>
    </row>
    <row r="120">
      <c r="A120" s="1" t="s">
        <v>680</v>
      </c>
      <c r="B120" s="1">
        <v>64.67</v>
      </c>
    </row>
    <row r="121">
      <c r="A121" s="1" t="s">
        <v>681</v>
      </c>
      <c r="B121" s="1">
        <v>94.0</v>
      </c>
    </row>
    <row r="122">
      <c r="A122" s="1" t="s">
        <v>682</v>
      </c>
      <c r="B122" s="1">
        <v>69.31</v>
      </c>
    </row>
    <row r="123">
      <c r="A123" s="1" t="s">
        <v>168</v>
      </c>
      <c r="B123" s="1">
        <v>40.5</v>
      </c>
    </row>
    <row r="124">
      <c r="A124" s="1" t="s">
        <v>552</v>
      </c>
      <c r="B124" s="1">
        <v>53.91</v>
      </c>
    </row>
    <row r="125">
      <c r="A125" s="1" t="s">
        <v>212</v>
      </c>
      <c r="B125" s="1">
        <v>31.5</v>
      </c>
    </row>
    <row r="126">
      <c r="A126" s="1" t="s">
        <v>683</v>
      </c>
      <c r="B126" s="1">
        <v>66.81</v>
      </c>
    </row>
    <row r="127">
      <c r="A127" s="1" t="s">
        <v>684</v>
      </c>
      <c r="B127" s="1">
        <v>57.0</v>
      </c>
    </row>
    <row r="128">
      <c r="A128" s="1" t="s">
        <v>685</v>
      </c>
      <c r="B128" s="1">
        <v>85.55</v>
      </c>
    </row>
    <row r="129">
      <c r="A129" s="1" t="s">
        <v>686</v>
      </c>
      <c r="B129" s="1">
        <v>35.0</v>
      </c>
    </row>
    <row r="130">
      <c r="A130" s="1" t="s">
        <v>687</v>
      </c>
      <c r="B130" s="1">
        <v>60.41</v>
      </c>
    </row>
    <row r="131">
      <c r="A131" s="1" t="s">
        <v>688</v>
      </c>
      <c r="B131" s="1">
        <v>84.29</v>
      </c>
    </row>
    <row r="132">
      <c r="A132" s="1" t="s">
        <v>689</v>
      </c>
      <c r="B132" s="1">
        <v>56.0</v>
      </c>
    </row>
    <row r="133">
      <c r="A133" s="1" t="s">
        <v>690</v>
      </c>
      <c r="B133" s="1">
        <v>33.91</v>
      </c>
    </row>
    <row r="134">
      <c r="A134" s="1" t="s">
        <v>691</v>
      </c>
      <c r="B134" s="1">
        <v>86.8</v>
      </c>
    </row>
    <row r="135">
      <c r="A135" s="1" t="s">
        <v>692</v>
      </c>
      <c r="B135" s="1">
        <v>78.0</v>
      </c>
    </row>
    <row r="136">
      <c r="A136" s="1" t="s">
        <v>693</v>
      </c>
      <c r="B136" s="1">
        <v>0.0</v>
      </c>
    </row>
    <row r="137">
      <c r="A137" s="1" t="s">
        <v>694</v>
      </c>
      <c r="B137" s="1">
        <v>57.25</v>
      </c>
    </row>
    <row r="138">
      <c r="A138" s="1" t="s">
        <v>695</v>
      </c>
      <c r="B138" s="1">
        <v>29.25</v>
      </c>
    </row>
    <row r="139">
      <c r="A139" s="1" t="s">
        <v>404</v>
      </c>
      <c r="B139" s="1">
        <v>36.31</v>
      </c>
    </row>
    <row r="140">
      <c r="A140" s="1" t="s">
        <v>696</v>
      </c>
      <c r="B140" s="1">
        <v>36.48</v>
      </c>
    </row>
    <row r="141">
      <c r="A141" s="1" t="s">
        <v>697</v>
      </c>
      <c r="B141" s="1">
        <v>74.47</v>
      </c>
    </row>
    <row r="142">
      <c r="A142" s="1" t="s">
        <v>196</v>
      </c>
      <c r="B142" s="1">
        <v>68.97</v>
      </c>
    </row>
    <row r="143">
      <c r="A143" s="1" t="s">
        <v>452</v>
      </c>
      <c r="B143" s="1">
        <v>0.0</v>
      </c>
    </row>
    <row r="144">
      <c r="A144" s="1" t="s">
        <v>448</v>
      </c>
      <c r="B144" s="1">
        <v>0.0</v>
      </c>
    </row>
    <row r="145">
      <c r="A145" s="1" t="s">
        <v>698</v>
      </c>
      <c r="B145" s="1">
        <v>57.19</v>
      </c>
    </row>
    <row r="146">
      <c r="A146" s="1" t="s">
        <v>699</v>
      </c>
      <c r="B146" s="1">
        <v>68.84</v>
      </c>
    </row>
    <row r="147">
      <c r="A147" s="1" t="s">
        <v>700</v>
      </c>
      <c r="B147" s="1">
        <v>62.28</v>
      </c>
    </row>
    <row r="148">
      <c r="A148" s="1" t="s">
        <v>701</v>
      </c>
      <c r="B148" s="1">
        <v>88.91</v>
      </c>
    </row>
    <row r="149">
      <c r="A149" s="1" t="s">
        <v>300</v>
      </c>
      <c r="B149" s="1">
        <v>69.82</v>
      </c>
    </row>
    <row r="150">
      <c r="A150" s="1" t="s">
        <v>702</v>
      </c>
      <c r="B150" s="1">
        <v>59.0</v>
      </c>
    </row>
    <row r="151">
      <c r="A151" s="1" t="s">
        <v>703</v>
      </c>
      <c r="B151" s="1">
        <v>92.25</v>
      </c>
    </row>
    <row r="152">
      <c r="A152" s="1" t="s">
        <v>704</v>
      </c>
      <c r="B152" s="1">
        <v>67.73</v>
      </c>
    </row>
    <row r="153">
      <c r="A153" s="1" t="s">
        <v>705</v>
      </c>
      <c r="B153" s="1">
        <v>80.32</v>
      </c>
    </row>
    <row r="154">
      <c r="A154" s="1" t="s">
        <v>156</v>
      </c>
      <c r="B154" s="1">
        <v>36.71</v>
      </c>
    </row>
    <row r="155">
      <c r="A155" s="1" t="s">
        <v>706</v>
      </c>
      <c r="B155" s="1">
        <v>79.69</v>
      </c>
    </row>
    <row r="156">
      <c r="A156" s="1" t="s">
        <v>707</v>
      </c>
      <c r="B156" s="1">
        <v>40.06</v>
      </c>
    </row>
    <row r="157">
      <c r="A157" s="1" t="s">
        <v>708</v>
      </c>
      <c r="B157" s="1">
        <v>59.25</v>
      </c>
    </row>
    <row r="158">
      <c r="A158" s="1" t="s">
        <v>709</v>
      </c>
      <c r="B158" s="1">
        <v>52.78</v>
      </c>
    </row>
    <row r="159">
      <c r="A159" s="1" t="s">
        <v>710</v>
      </c>
      <c r="B159" s="1">
        <v>52.06</v>
      </c>
    </row>
    <row r="160">
      <c r="A160" s="1" t="s">
        <v>711</v>
      </c>
      <c r="B160" s="1">
        <v>0.0</v>
      </c>
    </row>
    <row r="161">
      <c r="A161" s="1" t="s">
        <v>712</v>
      </c>
      <c r="B161" s="1">
        <v>71.41</v>
      </c>
    </row>
    <row r="162">
      <c r="A162" s="1" t="s">
        <v>713</v>
      </c>
      <c r="B162" s="1">
        <v>53.26</v>
      </c>
    </row>
    <row r="163">
      <c r="A163" s="1" t="s">
        <v>714</v>
      </c>
      <c r="B163" s="1">
        <v>57.94</v>
      </c>
    </row>
    <row r="164">
      <c r="A164" s="1" t="s">
        <v>715</v>
      </c>
      <c r="B164" s="1">
        <v>49.32</v>
      </c>
    </row>
    <row r="165">
      <c r="A165" s="1" t="s">
        <v>716</v>
      </c>
      <c r="B165" s="1">
        <v>35.98</v>
      </c>
    </row>
    <row r="166">
      <c r="A166" s="1" t="s">
        <v>717</v>
      </c>
      <c r="B166" s="1">
        <v>56.57</v>
      </c>
    </row>
    <row r="167">
      <c r="A167" s="1" t="s">
        <v>420</v>
      </c>
      <c r="B167" s="1">
        <v>85.8</v>
      </c>
    </row>
    <row r="168">
      <c r="A168" s="1" t="s">
        <v>256</v>
      </c>
      <c r="B168" s="1">
        <v>66.53</v>
      </c>
    </row>
    <row r="169">
      <c r="A169" s="1" t="s">
        <v>718</v>
      </c>
      <c r="B169" s="1">
        <v>72.56</v>
      </c>
    </row>
    <row r="170">
      <c r="A170" s="1" t="s">
        <v>719</v>
      </c>
      <c r="B170" s="1">
        <v>45.91</v>
      </c>
    </row>
    <row r="171">
      <c r="A171" s="1" t="s">
        <v>528</v>
      </c>
      <c r="B171" s="1">
        <v>29.25</v>
      </c>
    </row>
    <row r="172">
      <c r="A172" s="1" t="s">
        <v>720</v>
      </c>
      <c r="B172" s="1">
        <v>81.9</v>
      </c>
    </row>
    <row r="173">
      <c r="A173" s="1" t="s">
        <v>721</v>
      </c>
      <c r="B173" s="1">
        <v>44.0</v>
      </c>
    </row>
    <row r="174">
      <c r="A174" s="1" t="s">
        <v>304</v>
      </c>
      <c r="B174" s="1">
        <v>43.25</v>
      </c>
    </row>
    <row r="175">
      <c r="A175" s="1" t="s">
        <v>544</v>
      </c>
      <c r="B175" s="1">
        <v>46.94</v>
      </c>
    </row>
    <row r="176">
      <c r="A176" s="1" t="s">
        <v>722</v>
      </c>
      <c r="B176" s="1">
        <v>66.93</v>
      </c>
    </row>
    <row r="177">
      <c r="A177" s="1" t="s">
        <v>396</v>
      </c>
      <c r="B177" s="1">
        <v>76.53</v>
      </c>
    </row>
    <row r="178">
      <c r="A178" s="1" t="s">
        <v>723</v>
      </c>
      <c r="B178" s="1">
        <v>43.75</v>
      </c>
    </row>
    <row r="179">
      <c r="A179" s="1" t="s">
        <v>384</v>
      </c>
      <c r="B179" s="1">
        <v>51.31</v>
      </c>
    </row>
    <row r="180">
      <c r="A180" s="1" t="s">
        <v>724</v>
      </c>
      <c r="B180" s="1">
        <v>49.03</v>
      </c>
    </row>
    <row r="181">
      <c r="A181" s="1" t="s">
        <v>280</v>
      </c>
      <c r="B181" s="1">
        <v>62.06</v>
      </c>
    </row>
    <row r="182">
      <c r="A182" s="1" t="s">
        <v>725</v>
      </c>
      <c r="B182" s="1">
        <v>71.57</v>
      </c>
    </row>
    <row r="183">
      <c r="A183" s="1" t="s">
        <v>400</v>
      </c>
      <c r="B183" s="1">
        <v>58.25</v>
      </c>
    </row>
    <row r="184">
      <c r="A184" s="1" t="s">
        <v>726</v>
      </c>
      <c r="B184" s="1">
        <v>79.0</v>
      </c>
    </row>
    <row r="185">
      <c r="A185" s="1" t="s">
        <v>216</v>
      </c>
      <c r="B185" s="1">
        <v>61.23</v>
      </c>
    </row>
    <row r="186">
      <c r="A186" s="1" t="s">
        <v>56</v>
      </c>
      <c r="B186" s="1">
        <v>49.89</v>
      </c>
    </row>
    <row r="187">
      <c r="A187" s="1" t="s">
        <v>727</v>
      </c>
      <c r="B187" s="1">
        <v>43.9</v>
      </c>
    </row>
    <row r="188">
      <c r="A188" s="1" t="s">
        <v>344</v>
      </c>
      <c r="B188" s="1">
        <v>43.28</v>
      </c>
    </row>
    <row r="189">
      <c r="A189" s="1" t="s">
        <v>728</v>
      </c>
      <c r="B189" s="1">
        <v>71.4</v>
      </c>
    </row>
    <row r="190">
      <c r="A190" s="1" t="s">
        <v>729</v>
      </c>
      <c r="B190" s="1">
        <v>88.53</v>
      </c>
    </row>
    <row r="191">
      <c r="A191" s="1" t="s">
        <v>730</v>
      </c>
      <c r="B191" s="1">
        <v>45.66</v>
      </c>
    </row>
    <row r="192">
      <c r="A192" s="1" t="s">
        <v>436</v>
      </c>
      <c r="B192" s="1">
        <v>74.43</v>
      </c>
    </row>
    <row r="193">
      <c r="A193" s="1" t="s">
        <v>204</v>
      </c>
      <c r="B193" s="1">
        <v>47.66</v>
      </c>
    </row>
    <row r="194">
      <c r="A194" s="1" t="s">
        <v>731</v>
      </c>
      <c r="B194" s="1">
        <v>47.22</v>
      </c>
    </row>
    <row r="195">
      <c r="A195" s="1" t="s">
        <v>732</v>
      </c>
      <c r="B195" s="1">
        <v>91.55</v>
      </c>
    </row>
    <row r="196">
      <c r="A196" s="1" t="s">
        <v>733</v>
      </c>
      <c r="B196" s="1">
        <v>93.5</v>
      </c>
    </row>
    <row r="197">
      <c r="A197" s="1" t="s">
        <v>734</v>
      </c>
      <c r="B197" s="1">
        <v>52.5</v>
      </c>
    </row>
    <row r="198">
      <c r="A198" s="1" t="s">
        <v>735</v>
      </c>
      <c r="B198" s="1">
        <v>61.09</v>
      </c>
    </row>
    <row r="199">
      <c r="A199" s="1" t="s">
        <v>364</v>
      </c>
      <c r="B199" s="1">
        <v>61.91</v>
      </c>
    </row>
    <row r="200">
      <c r="A200" s="1" t="s">
        <v>348</v>
      </c>
      <c r="B200" s="1">
        <v>82.53</v>
      </c>
    </row>
    <row r="201">
      <c r="A201" s="1" t="s">
        <v>416</v>
      </c>
      <c r="B201" s="1">
        <v>61.66</v>
      </c>
    </row>
    <row r="202">
      <c r="A202" s="1" t="s">
        <v>736</v>
      </c>
      <c r="B202" s="1">
        <v>80.75</v>
      </c>
    </row>
    <row r="203">
      <c r="A203" s="1" t="s">
        <v>468</v>
      </c>
      <c r="B203" s="1">
        <v>82.96</v>
      </c>
    </row>
    <row r="204">
      <c r="A204" s="1" t="s">
        <v>737</v>
      </c>
      <c r="B204" s="1">
        <v>77.49</v>
      </c>
    </row>
    <row r="205">
      <c r="A205" s="1" t="s">
        <v>738</v>
      </c>
      <c r="B205" s="1">
        <v>47.73</v>
      </c>
    </row>
    <row r="206">
      <c r="A206" s="1" t="s">
        <v>739</v>
      </c>
      <c r="B206" s="1">
        <v>40.5</v>
      </c>
    </row>
    <row r="207">
      <c r="A207" s="1" t="s">
        <v>740</v>
      </c>
      <c r="B207" s="1">
        <v>48.5</v>
      </c>
    </row>
    <row r="208">
      <c r="A208" s="1" t="s">
        <v>741</v>
      </c>
      <c r="B208" s="1">
        <v>0.0</v>
      </c>
    </row>
    <row r="209">
      <c r="A209" s="1" t="s">
        <v>742</v>
      </c>
      <c r="B209" s="1">
        <v>42.0</v>
      </c>
    </row>
    <row r="210">
      <c r="A210" s="1" t="s">
        <v>356</v>
      </c>
      <c r="B210" s="1">
        <v>62.46</v>
      </c>
    </row>
    <row r="211">
      <c r="A211" s="1" t="s">
        <v>743</v>
      </c>
      <c r="B211" s="1">
        <v>82.68</v>
      </c>
    </row>
    <row r="212">
      <c r="A212" s="1" t="s">
        <v>744</v>
      </c>
      <c r="B212" s="1">
        <v>97.41</v>
      </c>
    </row>
    <row r="213">
      <c r="A213" s="1" t="s">
        <v>745</v>
      </c>
      <c r="B213" s="1">
        <v>84.81</v>
      </c>
    </row>
    <row r="214">
      <c r="A214" s="1" t="s">
        <v>524</v>
      </c>
      <c r="B214" s="1">
        <v>93.16</v>
      </c>
    </row>
    <row r="215">
      <c r="A215" s="1" t="s">
        <v>746</v>
      </c>
      <c r="B215" s="1">
        <v>73.81</v>
      </c>
    </row>
    <row r="216">
      <c r="A216" s="1" t="s">
        <v>747</v>
      </c>
      <c r="B216" s="1">
        <v>67.25</v>
      </c>
    </row>
    <row r="217">
      <c r="A217" s="1" t="s">
        <v>748</v>
      </c>
      <c r="B217" s="1">
        <v>87.66</v>
      </c>
    </row>
    <row r="218">
      <c r="A218" s="1" t="s">
        <v>749</v>
      </c>
      <c r="B218" s="1">
        <v>80.16</v>
      </c>
    </row>
    <row r="219">
      <c r="A219" s="1" t="s">
        <v>750</v>
      </c>
      <c r="B219" s="1">
        <v>57.97</v>
      </c>
    </row>
    <row r="220">
      <c r="A220" s="1" t="s">
        <v>128</v>
      </c>
      <c r="B220" s="1">
        <v>64.44</v>
      </c>
    </row>
    <row r="221">
      <c r="A221" s="1" t="s">
        <v>751</v>
      </c>
      <c r="B221" s="1">
        <v>67.22</v>
      </c>
    </row>
    <row r="222">
      <c r="A222" s="1" t="s">
        <v>92</v>
      </c>
      <c r="B222" s="1">
        <v>67.1</v>
      </c>
    </row>
    <row r="223">
      <c r="A223" s="1" t="s">
        <v>752</v>
      </c>
      <c r="B223" s="1">
        <v>83.17</v>
      </c>
    </row>
    <row r="224">
      <c r="A224" s="1" t="s">
        <v>428</v>
      </c>
      <c r="B224" s="1">
        <v>63.31</v>
      </c>
    </row>
    <row r="225">
      <c r="A225" s="1" t="s">
        <v>753</v>
      </c>
      <c r="B225" s="1">
        <v>72.67</v>
      </c>
    </row>
    <row r="226">
      <c r="A226" s="1" t="s">
        <v>754</v>
      </c>
      <c r="B226" s="1">
        <v>72.5</v>
      </c>
    </row>
    <row r="227">
      <c r="A227" s="1" t="s">
        <v>268</v>
      </c>
      <c r="B227" s="1">
        <v>63.01</v>
      </c>
    </row>
    <row r="228">
      <c r="A228" s="1" t="s">
        <v>352</v>
      </c>
      <c r="B228" s="1">
        <v>60.89</v>
      </c>
    </row>
    <row r="229">
      <c r="A229" s="1" t="s">
        <v>755</v>
      </c>
      <c r="B229" s="1">
        <v>76.53</v>
      </c>
    </row>
    <row r="230">
      <c r="A230" s="1" t="s">
        <v>756</v>
      </c>
      <c r="B230" s="1">
        <v>66.03</v>
      </c>
    </row>
    <row r="231">
      <c r="A231" s="1" t="s">
        <v>757</v>
      </c>
      <c r="B231" s="1">
        <v>59.65</v>
      </c>
    </row>
    <row r="232">
      <c r="A232" s="1" t="s">
        <v>492</v>
      </c>
      <c r="B232" s="1">
        <v>57.33</v>
      </c>
    </row>
    <row r="233">
      <c r="A233" s="1" t="s">
        <v>758</v>
      </c>
      <c r="B233" s="1">
        <v>90.25</v>
      </c>
    </row>
    <row r="234">
      <c r="A234" s="1" t="s">
        <v>759</v>
      </c>
      <c r="B234" s="1">
        <v>87.16</v>
      </c>
    </row>
    <row r="235">
      <c r="A235" s="1" t="s">
        <v>760</v>
      </c>
      <c r="B235" s="1">
        <v>70.82</v>
      </c>
    </row>
    <row r="236">
      <c r="A236" s="1" t="s">
        <v>761</v>
      </c>
      <c r="B236" s="1">
        <v>44.25</v>
      </c>
    </row>
    <row r="237">
      <c r="A237" s="1" t="s">
        <v>762</v>
      </c>
      <c r="B237" s="1">
        <v>62.72</v>
      </c>
    </row>
    <row r="238">
      <c r="A238" s="1" t="s">
        <v>763</v>
      </c>
      <c r="B238" s="1">
        <v>47.75</v>
      </c>
    </row>
    <row r="239">
      <c r="A239" s="1" t="s">
        <v>764</v>
      </c>
      <c r="B239" s="1">
        <v>52.34</v>
      </c>
    </row>
    <row r="240">
      <c r="A240" s="1" t="s">
        <v>765</v>
      </c>
      <c r="B240" s="1">
        <v>0.0</v>
      </c>
    </row>
    <row r="241">
      <c r="A241" s="1" t="s">
        <v>508</v>
      </c>
      <c r="B241" s="1">
        <v>33.81</v>
      </c>
    </row>
    <row r="242">
      <c r="A242" s="1" t="s">
        <v>560</v>
      </c>
      <c r="B242" s="1">
        <v>35.25</v>
      </c>
    </row>
    <row r="243">
      <c r="A243" s="1" t="s">
        <v>766</v>
      </c>
      <c r="B243" s="1">
        <v>52.74</v>
      </c>
    </row>
    <row r="244">
      <c r="A244" s="1" t="s">
        <v>120</v>
      </c>
      <c r="B244" s="1">
        <v>35.44</v>
      </c>
    </row>
    <row r="245">
      <c r="A245" s="1" t="s">
        <v>767</v>
      </c>
      <c r="B245" s="1">
        <v>53.91</v>
      </c>
    </row>
    <row r="246">
      <c r="A246" s="1" t="s">
        <v>768</v>
      </c>
      <c r="B246" s="1">
        <v>60.25</v>
      </c>
    </row>
    <row r="247">
      <c r="A247" s="15" t="s">
        <v>240</v>
      </c>
      <c r="B247" s="1">
        <v>42.53</v>
      </c>
    </row>
    <row r="248">
      <c r="A248" s="1" t="s">
        <v>769</v>
      </c>
      <c r="B248" s="1">
        <v>86.26</v>
      </c>
    </row>
    <row r="249">
      <c r="A249" s="1" t="s">
        <v>176</v>
      </c>
      <c r="B249" s="1">
        <v>66.71</v>
      </c>
    </row>
    <row r="250">
      <c r="A250" s="1" t="s">
        <v>84</v>
      </c>
      <c r="B250" s="1">
        <v>30.75</v>
      </c>
    </row>
    <row r="251">
      <c r="A251" s="1" t="s">
        <v>770</v>
      </c>
      <c r="B251" s="1">
        <v>71.66</v>
      </c>
    </row>
    <row r="252">
      <c r="A252" s="1" t="s">
        <v>220</v>
      </c>
      <c r="B252" s="1">
        <v>75.96</v>
      </c>
    </row>
    <row r="253">
      <c r="A253" s="1" t="s">
        <v>771</v>
      </c>
      <c r="B253" s="1">
        <v>31.52</v>
      </c>
    </row>
    <row r="254">
      <c r="A254" s="1" t="s">
        <v>772</v>
      </c>
      <c r="B254" s="1">
        <v>48.06</v>
      </c>
    </row>
    <row r="255">
      <c r="A255" s="1" t="s">
        <v>773</v>
      </c>
      <c r="B255" s="1">
        <v>49.28</v>
      </c>
    </row>
    <row r="256">
      <c r="A256" s="1" t="s">
        <v>228</v>
      </c>
      <c r="B256" s="1">
        <v>84.25</v>
      </c>
    </row>
    <row r="257">
      <c r="A257" s="1" t="s">
        <v>774</v>
      </c>
      <c r="B257" s="1">
        <v>66.75</v>
      </c>
    </row>
    <row r="258">
      <c r="A258" s="1" t="s">
        <v>140</v>
      </c>
      <c r="B258" s="1">
        <v>63.55</v>
      </c>
    </row>
    <row r="259">
      <c r="A259" s="1" t="s">
        <v>775</v>
      </c>
      <c r="B259" s="1">
        <v>45.75</v>
      </c>
    </row>
    <row r="260">
      <c r="A260" s="1" t="s">
        <v>776</v>
      </c>
      <c r="B260" s="1">
        <v>60.25</v>
      </c>
    </row>
    <row r="261">
      <c r="A261" s="1" t="s">
        <v>777</v>
      </c>
      <c r="B261" s="1">
        <v>79.48</v>
      </c>
    </row>
    <row r="262">
      <c r="A262" s="1" t="s">
        <v>778</v>
      </c>
      <c r="B262" s="1">
        <v>49.5</v>
      </c>
    </row>
    <row r="263">
      <c r="A263" s="1" t="s">
        <v>72</v>
      </c>
      <c r="B263" s="1">
        <v>89.91</v>
      </c>
    </row>
    <row r="264">
      <c r="A264" s="1" t="s">
        <v>296</v>
      </c>
      <c r="B264" s="1">
        <v>50.15</v>
      </c>
    </row>
    <row r="265">
      <c r="A265" s="1" t="s">
        <v>532</v>
      </c>
      <c r="B265" s="1">
        <v>72.98</v>
      </c>
    </row>
    <row r="266">
      <c r="A266" s="1" t="s">
        <v>48</v>
      </c>
      <c r="B266" s="1">
        <v>56.19</v>
      </c>
    </row>
    <row r="267">
      <c r="A267" s="1" t="s">
        <v>779</v>
      </c>
      <c r="B267" s="1">
        <v>61.5</v>
      </c>
    </row>
    <row r="268">
      <c r="A268" s="1" t="s">
        <v>780</v>
      </c>
      <c r="B268" s="1">
        <v>68.41</v>
      </c>
    </row>
    <row r="269">
      <c r="A269" s="1" t="s">
        <v>781</v>
      </c>
      <c r="B269" s="1">
        <v>24.0</v>
      </c>
    </row>
    <row r="270">
      <c r="A270" s="1" t="s">
        <v>782</v>
      </c>
      <c r="B270" s="1">
        <v>52.5</v>
      </c>
    </row>
    <row r="271">
      <c r="A271" s="1" t="s">
        <v>783</v>
      </c>
      <c r="B271" s="1">
        <v>53.0</v>
      </c>
    </row>
    <row r="272">
      <c r="A272" s="1" t="s">
        <v>784</v>
      </c>
      <c r="B272" s="1">
        <v>52.71</v>
      </c>
    </row>
    <row r="273">
      <c r="A273" s="1" t="s">
        <v>424</v>
      </c>
      <c r="B273" s="1">
        <v>73.25</v>
      </c>
    </row>
    <row r="274">
      <c r="A274" s="1" t="s">
        <v>496</v>
      </c>
      <c r="B274" s="1">
        <v>62.59</v>
      </c>
    </row>
    <row r="275">
      <c r="A275" s="1" t="s">
        <v>484</v>
      </c>
      <c r="B275" s="1">
        <v>54.94</v>
      </c>
    </row>
    <row r="276">
      <c r="A276" s="1" t="s">
        <v>252</v>
      </c>
      <c r="B276" s="1">
        <v>66.03</v>
      </c>
    </row>
    <row r="277">
      <c r="A277" s="1" t="s">
        <v>332</v>
      </c>
      <c r="B277" s="1">
        <v>62.16</v>
      </c>
    </row>
    <row r="278">
      <c r="A278" s="1" t="s">
        <v>76</v>
      </c>
      <c r="B278" s="1">
        <v>70.71</v>
      </c>
    </row>
    <row r="279">
      <c r="A279" s="1" t="s">
        <v>785</v>
      </c>
      <c r="B279" s="1">
        <v>58.19</v>
      </c>
    </row>
    <row r="280">
      <c r="A280" s="1" t="s">
        <v>288</v>
      </c>
      <c r="B280" s="1">
        <v>50.77</v>
      </c>
    </row>
    <row r="281">
      <c r="A281" s="1" t="s">
        <v>786</v>
      </c>
      <c r="B281" s="1">
        <v>41.75</v>
      </c>
    </row>
    <row r="282">
      <c r="A282" s="1" t="s">
        <v>108</v>
      </c>
      <c r="B282" s="1">
        <v>77.44</v>
      </c>
    </row>
    <row r="283">
      <c r="A283" s="1" t="s">
        <v>248</v>
      </c>
      <c r="B283" s="1">
        <v>56.75</v>
      </c>
    </row>
    <row r="284">
      <c r="A284" s="1" t="s">
        <v>180</v>
      </c>
      <c r="B284" s="1">
        <v>56.91</v>
      </c>
    </row>
    <row r="285">
      <c r="A285" s="1" t="s">
        <v>787</v>
      </c>
      <c r="B285" s="1">
        <v>64.94</v>
      </c>
    </row>
    <row r="286">
      <c r="A286" s="1" t="s">
        <v>788</v>
      </c>
      <c r="B286" s="1">
        <v>68.41</v>
      </c>
    </row>
    <row r="287">
      <c r="A287" s="1" t="s">
        <v>789</v>
      </c>
      <c r="B287" s="1">
        <v>54.54</v>
      </c>
    </row>
    <row r="288">
      <c r="A288" s="1" t="s">
        <v>536</v>
      </c>
      <c r="B288" s="1">
        <v>80.65</v>
      </c>
    </row>
    <row r="289">
      <c r="A289" s="1" t="s">
        <v>104</v>
      </c>
      <c r="B289" s="1">
        <v>70.3</v>
      </c>
    </row>
    <row r="290">
      <c r="A290" s="1" t="s">
        <v>64</v>
      </c>
      <c r="B290" s="1">
        <v>83.25</v>
      </c>
    </row>
    <row r="291">
      <c r="A291" s="1" t="s">
        <v>790</v>
      </c>
      <c r="B291" s="1">
        <v>66.25</v>
      </c>
    </row>
    <row r="292">
      <c r="A292" s="1" t="s">
        <v>791</v>
      </c>
      <c r="B292" s="1">
        <v>75.28</v>
      </c>
    </row>
    <row r="293">
      <c r="A293" s="1" t="s">
        <v>792</v>
      </c>
      <c r="B293" s="1">
        <v>81.21</v>
      </c>
    </row>
    <row r="294">
      <c r="A294" s="1" t="s">
        <v>793</v>
      </c>
      <c r="B294" s="1">
        <v>83.5</v>
      </c>
    </row>
    <row r="295">
      <c r="A295" s="1" t="s">
        <v>164</v>
      </c>
      <c r="B295" s="1">
        <v>67.16</v>
      </c>
    </row>
    <row r="296">
      <c r="A296" s="1" t="s">
        <v>112</v>
      </c>
      <c r="B296" s="1">
        <v>96.16</v>
      </c>
    </row>
    <row r="297">
      <c r="A297" s="1" t="s">
        <v>794</v>
      </c>
      <c r="B297" s="1">
        <v>39.25</v>
      </c>
    </row>
    <row r="298">
      <c r="A298" s="1" t="s">
        <v>244</v>
      </c>
      <c r="B298" s="1">
        <v>39.42</v>
      </c>
    </row>
    <row r="299">
      <c r="A299" s="1" t="s">
        <v>795</v>
      </c>
      <c r="B299" s="1">
        <v>0.0</v>
      </c>
    </row>
    <row r="300">
      <c r="A300" s="1" t="s">
        <v>432</v>
      </c>
      <c r="B300" s="1">
        <v>75.94</v>
      </c>
    </row>
    <row r="301">
      <c r="A301" s="1" t="s">
        <v>480</v>
      </c>
      <c r="B301" s="1">
        <v>52.9</v>
      </c>
    </row>
    <row r="302">
      <c r="A302" s="1" t="s">
        <v>292</v>
      </c>
      <c r="B302" s="1">
        <v>74.78</v>
      </c>
    </row>
    <row r="303">
      <c r="A303" s="1" t="s">
        <v>796</v>
      </c>
      <c r="B303" s="1">
        <v>58.23</v>
      </c>
    </row>
    <row r="304">
      <c r="A304" s="1" t="s">
        <v>52</v>
      </c>
      <c r="B304" s="1">
        <v>68.44</v>
      </c>
    </row>
    <row r="305">
      <c r="A305" s="1" t="s">
        <v>260</v>
      </c>
      <c r="B305" s="1">
        <v>42.0</v>
      </c>
    </row>
    <row r="306">
      <c r="A306" s="1" t="s">
        <v>797</v>
      </c>
      <c r="B306" s="1">
        <v>50.03</v>
      </c>
    </row>
    <row r="307">
      <c r="A307" s="1" t="s">
        <v>798</v>
      </c>
      <c r="B307" s="1">
        <v>74.8</v>
      </c>
    </row>
    <row r="308">
      <c r="A308" s="1" t="s">
        <v>799</v>
      </c>
      <c r="B308" s="1">
        <v>77.66</v>
      </c>
    </row>
    <row r="309">
      <c r="A309" s="1" t="s">
        <v>100</v>
      </c>
      <c r="B309" s="1">
        <v>65.54</v>
      </c>
    </row>
    <row r="310">
      <c r="A310" s="1" t="s">
        <v>800</v>
      </c>
      <c r="B310" s="1">
        <v>86.3</v>
      </c>
    </row>
    <row r="311">
      <c r="A311" s="1" t="s">
        <v>801</v>
      </c>
      <c r="B311" s="1">
        <v>72.92</v>
      </c>
    </row>
    <row r="312">
      <c r="A312" s="1" t="s">
        <v>802</v>
      </c>
      <c r="B312" s="1">
        <v>43.5</v>
      </c>
    </row>
    <row r="313">
      <c r="A313" s="1" t="s">
        <v>200</v>
      </c>
      <c r="B313" s="1">
        <v>45.77</v>
      </c>
    </row>
    <row r="314">
      <c r="A314" s="1" t="s">
        <v>500</v>
      </c>
      <c r="B314" s="1">
        <v>54.46</v>
      </c>
    </row>
    <row r="315">
      <c r="A315" s="1" t="s">
        <v>803</v>
      </c>
      <c r="B315" s="1">
        <v>52.5</v>
      </c>
    </row>
    <row r="316">
      <c r="A316" s="1" t="s">
        <v>804</v>
      </c>
      <c r="B316" s="1">
        <v>59.25</v>
      </c>
    </row>
    <row r="317">
      <c r="A317" s="1" t="s">
        <v>805</v>
      </c>
      <c r="B317" s="1">
        <v>76.57</v>
      </c>
    </row>
    <row r="318">
      <c r="A318" s="1" t="s">
        <v>806</v>
      </c>
      <c r="B318" s="1">
        <v>64.67</v>
      </c>
    </row>
    <row r="319">
      <c r="A319" s="1" t="s">
        <v>807</v>
      </c>
      <c r="B319" s="1">
        <v>27.0</v>
      </c>
    </row>
    <row r="320">
      <c r="A320" s="1" t="s">
        <v>116</v>
      </c>
      <c r="B320" s="1">
        <v>88.66</v>
      </c>
    </row>
    <row r="321">
      <c r="A321" s="1" t="s">
        <v>144</v>
      </c>
      <c r="B321" s="1">
        <v>50.06</v>
      </c>
    </row>
    <row r="322">
      <c r="A322" s="1" t="s">
        <v>808</v>
      </c>
      <c r="B322" s="1">
        <v>90.25</v>
      </c>
    </row>
    <row r="323">
      <c r="A323" s="1" t="s">
        <v>809</v>
      </c>
      <c r="B323" s="1">
        <v>44.25</v>
      </c>
    </row>
    <row r="324">
      <c r="A324" s="1" t="s">
        <v>520</v>
      </c>
      <c r="B324" s="1">
        <v>63.66</v>
      </c>
    </row>
    <row r="325">
      <c r="A325" s="1" t="s">
        <v>810</v>
      </c>
      <c r="B325" s="1">
        <v>60.46</v>
      </c>
    </row>
    <row r="326">
      <c r="A326" s="1" t="s">
        <v>811</v>
      </c>
      <c r="B326" s="1">
        <v>18.75</v>
      </c>
    </row>
    <row r="327">
      <c r="A327" s="1" t="s">
        <v>812</v>
      </c>
      <c r="B327" s="1">
        <v>87.28</v>
      </c>
    </row>
    <row r="328">
      <c r="A328" s="1" t="s">
        <v>813</v>
      </c>
      <c r="B328" s="1">
        <v>22.5</v>
      </c>
    </row>
    <row r="329">
      <c r="A329" s="1" t="s">
        <v>60</v>
      </c>
      <c r="B329" s="1">
        <v>86.16</v>
      </c>
    </row>
    <row r="330">
      <c r="A330" s="1" t="s">
        <v>814</v>
      </c>
      <c r="B330" s="1">
        <v>81.42</v>
      </c>
    </row>
    <row r="331">
      <c r="A331" s="1" t="s">
        <v>815</v>
      </c>
      <c r="B331" s="1">
        <v>57.73</v>
      </c>
    </row>
    <row r="332">
      <c r="A332" s="1" t="s">
        <v>816</v>
      </c>
      <c r="B332" s="1">
        <v>62.99</v>
      </c>
    </row>
    <row r="333">
      <c r="A333" s="1" t="s">
        <v>408</v>
      </c>
      <c r="B333" s="1">
        <v>89.25</v>
      </c>
    </row>
    <row r="334">
      <c r="A334" s="1" t="s">
        <v>276</v>
      </c>
      <c r="B334" s="1">
        <v>53.44</v>
      </c>
    </row>
    <row r="335">
      <c r="A335" s="1" t="s">
        <v>817</v>
      </c>
      <c r="B335" s="1">
        <v>80.75</v>
      </c>
    </row>
    <row r="336">
      <c r="A336" s="1" t="s">
        <v>340</v>
      </c>
      <c r="B336" s="1">
        <v>61.57</v>
      </c>
    </row>
    <row r="337">
      <c r="A337" s="1" t="s">
        <v>818</v>
      </c>
      <c r="B337" s="1">
        <v>77.56</v>
      </c>
    </row>
    <row r="338">
      <c r="A338" s="1" t="s">
        <v>819</v>
      </c>
      <c r="B338" s="1">
        <v>51.25</v>
      </c>
    </row>
    <row r="339">
      <c r="A339" s="1" t="s">
        <v>820</v>
      </c>
      <c r="B339" s="1">
        <v>73.13</v>
      </c>
    </row>
    <row r="340">
      <c r="A340" s="1" t="s">
        <v>821</v>
      </c>
      <c r="B340" s="1">
        <v>45.96</v>
      </c>
    </row>
    <row r="341">
      <c r="A341" s="1" t="s">
        <v>822</v>
      </c>
      <c r="B341" s="1">
        <v>42.75</v>
      </c>
    </row>
    <row r="342">
      <c r="A342" s="1" t="s">
        <v>44</v>
      </c>
      <c r="B342" s="1">
        <v>51.75</v>
      </c>
    </row>
    <row r="343">
      <c r="A343" s="1" t="s">
        <v>823</v>
      </c>
      <c r="B343" s="1">
        <v>82.19</v>
      </c>
    </row>
    <row r="344">
      <c r="A344" s="1" t="s">
        <v>824</v>
      </c>
      <c r="B344" s="1">
        <v>50.0</v>
      </c>
    </row>
    <row r="345">
      <c r="A345" s="1" t="s">
        <v>825</v>
      </c>
      <c r="B345" s="1">
        <v>27.53</v>
      </c>
    </row>
    <row r="346">
      <c r="A346" s="1" t="s">
        <v>826</v>
      </c>
      <c r="B346" s="1">
        <v>50.25</v>
      </c>
    </row>
    <row r="347">
      <c r="A347" s="1" t="s">
        <v>827</v>
      </c>
      <c r="B347" s="1">
        <v>54.75</v>
      </c>
    </row>
    <row r="348">
      <c r="A348" s="1" t="s">
        <v>828</v>
      </c>
      <c r="B348" s="1">
        <v>97.41</v>
      </c>
    </row>
    <row r="349">
      <c r="A349" s="1" t="s">
        <v>829</v>
      </c>
      <c r="B349" s="1">
        <v>97.41</v>
      </c>
    </row>
    <row r="350">
      <c r="A350" s="1" t="s">
        <v>830</v>
      </c>
      <c r="B350" s="1">
        <v>30.0</v>
      </c>
    </row>
    <row r="351">
      <c r="A351" s="1" t="s">
        <v>148</v>
      </c>
      <c r="B351" s="1">
        <v>41.55</v>
      </c>
    </row>
    <row r="352">
      <c r="A352" s="1" t="s">
        <v>831</v>
      </c>
      <c r="B352" s="1">
        <v>79.5</v>
      </c>
    </row>
    <row r="353">
      <c r="A353" s="1" t="s">
        <v>160</v>
      </c>
      <c r="B353" s="1">
        <v>60.42</v>
      </c>
    </row>
    <row r="354">
      <c r="A354" s="1" t="s">
        <v>832</v>
      </c>
      <c r="B354" s="1">
        <v>59.92</v>
      </c>
    </row>
    <row r="355">
      <c r="A355" s="1" t="s">
        <v>833</v>
      </c>
      <c r="B355" s="1">
        <v>65.78</v>
      </c>
    </row>
    <row r="356">
      <c r="A356" s="1" t="s">
        <v>88</v>
      </c>
      <c r="B356" s="1">
        <v>81.41</v>
      </c>
    </row>
    <row r="357">
      <c r="A357" s="1" t="s">
        <v>834</v>
      </c>
      <c r="B357" s="1">
        <v>32.41</v>
      </c>
    </row>
    <row r="358">
      <c r="A358" s="1" t="s">
        <v>835</v>
      </c>
      <c r="B358" s="1">
        <v>33.0</v>
      </c>
    </row>
    <row r="359">
      <c r="A359" s="1" t="s">
        <v>232</v>
      </c>
      <c r="B359" s="1">
        <v>73.64</v>
      </c>
    </row>
    <row r="360">
      <c r="A360" s="1" t="s">
        <v>836</v>
      </c>
      <c r="B360" s="1">
        <v>94.41</v>
      </c>
    </row>
    <row r="361">
      <c r="A361" s="1" t="s">
        <v>837</v>
      </c>
      <c r="B361" s="1">
        <v>58.25</v>
      </c>
    </row>
    <row r="362">
      <c r="A362" s="1" t="s">
        <v>838</v>
      </c>
      <c r="B362" s="1">
        <v>72.17</v>
      </c>
    </row>
    <row r="363">
      <c r="A363" s="1" t="s">
        <v>839</v>
      </c>
      <c r="B363" s="1">
        <v>56.51</v>
      </c>
    </row>
    <row r="364">
      <c r="A364" s="1" t="s">
        <v>840</v>
      </c>
      <c r="B364" s="1">
        <v>79.72</v>
      </c>
    </row>
    <row r="365">
      <c r="A365" s="1" t="s">
        <v>841</v>
      </c>
      <c r="B365" s="1">
        <v>46.42</v>
      </c>
    </row>
    <row r="366">
      <c r="A366" s="1" t="s">
        <v>842</v>
      </c>
      <c r="B366" s="1">
        <v>74.16</v>
      </c>
    </row>
    <row r="367">
      <c r="A367" s="1" t="s">
        <v>488</v>
      </c>
      <c r="B367" s="1">
        <v>66.0</v>
      </c>
    </row>
    <row r="368">
      <c r="A368" s="1" t="s">
        <v>284</v>
      </c>
      <c r="B368" s="1">
        <v>45.5</v>
      </c>
    </row>
    <row r="369">
      <c r="A369" s="1" t="s">
        <v>843</v>
      </c>
      <c r="B369" s="1">
        <v>43.42</v>
      </c>
    </row>
    <row r="370">
      <c r="A370" s="1" t="s">
        <v>844</v>
      </c>
      <c r="B370" s="1">
        <v>44.0</v>
      </c>
    </row>
    <row r="371">
      <c r="A371" s="1" t="s">
        <v>845</v>
      </c>
      <c r="B371" s="1">
        <v>57.25</v>
      </c>
    </row>
    <row r="372">
      <c r="A372" s="1" t="s">
        <v>124</v>
      </c>
      <c r="B372" s="1">
        <v>84.65</v>
      </c>
    </row>
    <row r="373">
      <c r="A373" s="1" t="s">
        <v>846</v>
      </c>
      <c r="B373" s="1">
        <v>72.17</v>
      </c>
    </row>
    <row r="374">
      <c r="A374" s="1" t="s">
        <v>412</v>
      </c>
      <c r="B374" s="1">
        <v>68.44</v>
      </c>
    </row>
    <row r="375">
      <c r="A375" s="1" t="s">
        <v>847</v>
      </c>
      <c r="B375" s="1">
        <v>18.0</v>
      </c>
    </row>
    <row r="376">
      <c r="A376" s="1" t="s">
        <v>848</v>
      </c>
      <c r="B376" s="1">
        <v>39.76</v>
      </c>
    </row>
    <row r="377">
      <c r="A377" s="1" t="s">
        <v>849</v>
      </c>
      <c r="B377" s="1">
        <v>53.25</v>
      </c>
    </row>
    <row r="378">
      <c r="A378" s="1" t="s">
        <v>850</v>
      </c>
      <c r="B378" s="1">
        <v>66.07</v>
      </c>
    </row>
    <row r="379">
      <c r="A379" s="1" t="s">
        <v>851</v>
      </c>
      <c r="B379" s="1">
        <v>93.5</v>
      </c>
    </row>
    <row r="380">
      <c r="A380" s="1" t="s">
        <v>852</v>
      </c>
      <c r="B380" s="1">
        <v>44.26</v>
      </c>
    </row>
    <row r="381">
      <c r="A381" s="1" t="s">
        <v>853</v>
      </c>
      <c r="B381" s="1">
        <v>70.48</v>
      </c>
    </row>
    <row r="382">
      <c r="A382" s="1" t="s">
        <v>392</v>
      </c>
      <c r="B382" s="1">
        <v>76.45</v>
      </c>
    </row>
    <row r="383">
      <c r="A383" s="1" t="s">
        <v>854</v>
      </c>
      <c r="B383" s="1">
        <v>100.0</v>
      </c>
    </row>
    <row r="384">
      <c r="A384" s="1" t="s">
        <v>855</v>
      </c>
      <c r="B384" s="1">
        <v>35.75</v>
      </c>
    </row>
    <row r="385">
      <c r="A385" s="1" t="s">
        <v>856</v>
      </c>
      <c r="B385" s="1">
        <v>91.0</v>
      </c>
    </row>
    <row r="386">
      <c r="A386" s="1" t="s">
        <v>236</v>
      </c>
      <c r="B386" s="1">
        <v>73.15</v>
      </c>
    </row>
    <row r="387">
      <c r="A387" s="1" t="s">
        <v>80</v>
      </c>
      <c r="B387" s="1">
        <v>77.78</v>
      </c>
    </row>
    <row r="388">
      <c r="A388" s="1" t="s">
        <v>857</v>
      </c>
      <c r="B388" s="1">
        <v>53.25</v>
      </c>
    </row>
    <row r="389">
      <c r="A389" s="1" t="s">
        <v>336</v>
      </c>
      <c r="B389" s="1">
        <v>61.57</v>
      </c>
    </row>
    <row r="390">
      <c r="A390" s="1" t="s">
        <v>858</v>
      </c>
      <c r="B390" s="1">
        <v>68.69</v>
      </c>
    </row>
    <row r="391">
      <c r="A391" s="1" t="s">
        <v>472</v>
      </c>
      <c r="B391" s="1">
        <v>23.25</v>
      </c>
    </row>
    <row r="392">
      <c r="A392" s="1" t="s">
        <v>859</v>
      </c>
      <c r="B392" s="1">
        <v>68.35</v>
      </c>
    </row>
    <row r="393">
      <c r="A393" s="1" t="s">
        <v>860</v>
      </c>
      <c r="B393" s="1">
        <v>48.54</v>
      </c>
    </row>
    <row r="394">
      <c r="A394" s="1" t="s">
        <v>861</v>
      </c>
      <c r="B394" s="1">
        <v>43.94</v>
      </c>
    </row>
    <row r="395">
      <c r="A395" s="1" t="s">
        <v>862</v>
      </c>
      <c r="B395" s="1">
        <v>75.21</v>
      </c>
    </row>
    <row r="396">
      <c r="A396" s="1" t="s">
        <v>172</v>
      </c>
      <c r="B396" s="1">
        <v>55.11</v>
      </c>
    </row>
    <row r="397">
      <c r="A397" s="1" t="s">
        <v>96</v>
      </c>
      <c r="B397" s="1">
        <v>89.25</v>
      </c>
    </row>
    <row r="398">
      <c r="A398" s="1" t="s">
        <v>863</v>
      </c>
      <c r="B398" s="1">
        <v>48.25</v>
      </c>
    </row>
    <row r="399">
      <c r="A399" s="1" t="s">
        <v>864</v>
      </c>
      <c r="B399" s="1">
        <v>51.5</v>
      </c>
    </row>
    <row r="400">
      <c r="A400" s="1" t="s">
        <v>512</v>
      </c>
      <c r="B400" s="1">
        <v>83.25</v>
      </c>
    </row>
    <row r="401">
      <c r="A401" s="1" t="s">
        <v>865</v>
      </c>
      <c r="B401" s="1">
        <v>71.66</v>
      </c>
    </row>
    <row r="402">
      <c r="A402" s="1" t="s">
        <v>866</v>
      </c>
      <c r="B402" s="1">
        <v>76.66</v>
      </c>
    </row>
    <row r="403">
      <c r="A403" s="1" t="s">
        <v>867</v>
      </c>
      <c r="B403" s="1">
        <v>18.0</v>
      </c>
    </row>
    <row r="404">
      <c r="A404" s="1" t="s">
        <v>868</v>
      </c>
      <c r="B404" s="1">
        <v>61.75</v>
      </c>
    </row>
    <row r="405">
      <c r="A405" s="1" t="s">
        <v>556</v>
      </c>
      <c r="B405" s="1">
        <v>55.16</v>
      </c>
    </row>
    <row r="406">
      <c r="A406" s="1" t="s">
        <v>869</v>
      </c>
      <c r="B406" s="1">
        <v>49.0</v>
      </c>
    </row>
    <row r="407">
      <c r="A407" s="1" t="s">
        <v>870</v>
      </c>
      <c r="B407" s="1">
        <v>51.0</v>
      </c>
    </row>
    <row r="408">
      <c r="A408" s="1" t="s">
        <v>871</v>
      </c>
      <c r="B408" s="1">
        <v>41.25</v>
      </c>
    </row>
    <row r="409">
      <c r="A409" s="1" t="s">
        <v>872</v>
      </c>
      <c r="B409" s="1">
        <v>77.5</v>
      </c>
    </row>
    <row r="410">
      <c r="A410" s="1" t="s">
        <v>324</v>
      </c>
      <c r="B410" s="1">
        <v>72.99</v>
      </c>
    </row>
    <row r="411">
      <c r="A411" s="1" t="s">
        <v>873</v>
      </c>
      <c r="B411" s="1">
        <v>65.26</v>
      </c>
    </row>
    <row r="412">
      <c r="A412" s="1" t="s">
        <v>444</v>
      </c>
      <c r="B412" s="1">
        <v>48.0</v>
      </c>
    </row>
    <row r="413">
      <c r="A413" s="1" t="s">
        <v>372</v>
      </c>
      <c r="B413" s="1">
        <v>47.22</v>
      </c>
    </row>
    <row r="414">
      <c r="A414" s="1" t="s">
        <v>464</v>
      </c>
      <c r="B414" s="1">
        <v>63.22</v>
      </c>
    </row>
    <row r="415">
      <c r="A415" s="1" t="s">
        <v>874</v>
      </c>
      <c r="B415" s="1">
        <v>74.91</v>
      </c>
    </row>
    <row r="416">
      <c r="A416" s="1" t="s">
        <v>875</v>
      </c>
      <c r="B416" s="1">
        <v>71.71</v>
      </c>
    </row>
    <row r="417">
      <c r="A417" s="1" t="s">
        <v>876</v>
      </c>
      <c r="B417" s="1">
        <v>61.9</v>
      </c>
    </row>
    <row r="418">
      <c r="A418" s="1" t="s">
        <v>877</v>
      </c>
      <c r="B418" s="1">
        <v>0.0</v>
      </c>
    </row>
    <row r="419">
      <c r="A419" s="1" t="s">
        <v>878</v>
      </c>
      <c r="B419" s="1">
        <v>57.56</v>
      </c>
    </row>
    <row r="420">
      <c r="A420" s="1" t="s">
        <v>132</v>
      </c>
      <c r="B420" s="1">
        <v>69.17</v>
      </c>
    </row>
    <row r="421">
      <c r="A421" s="1" t="s">
        <v>879</v>
      </c>
      <c r="B421" s="1">
        <v>79.26</v>
      </c>
    </row>
    <row r="422">
      <c r="A422" s="1" t="s">
        <v>880</v>
      </c>
      <c r="B422" s="1">
        <v>53.75</v>
      </c>
    </row>
    <row r="423">
      <c r="A423" s="1" t="s">
        <v>881</v>
      </c>
      <c r="B423" s="1">
        <v>68.25</v>
      </c>
    </row>
    <row r="424">
      <c r="A424" s="1" t="s">
        <v>882</v>
      </c>
      <c r="B424" s="1">
        <v>80.99</v>
      </c>
    </row>
    <row r="425">
      <c r="A425" s="1" t="s">
        <v>883</v>
      </c>
      <c r="B425" s="1">
        <v>70.25</v>
      </c>
    </row>
    <row r="426">
      <c r="A426" s="1" t="s">
        <v>884</v>
      </c>
      <c r="B426" s="1">
        <v>48.44</v>
      </c>
    </row>
    <row r="427">
      <c r="A427" s="1" t="s">
        <v>885</v>
      </c>
      <c r="B427" s="1">
        <v>63.46</v>
      </c>
    </row>
    <row r="428">
      <c r="A428" s="1" t="s">
        <v>886</v>
      </c>
      <c r="B428" s="1">
        <v>50.75</v>
      </c>
    </row>
    <row r="429">
      <c r="A429" s="1" t="s">
        <v>368</v>
      </c>
      <c r="B429" s="1">
        <v>46.5</v>
      </c>
    </row>
    <row r="430">
      <c r="A430" s="1" t="s">
        <v>388</v>
      </c>
      <c r="B430" s="1">
        <v>54.53</v>
      </c>
    </row>
    <row r="431">
      <c r="A431" s="1" t="s">
        <v>380</v>
      </c>
      <c r="B431" s="1">
        <v>55.71</v>
      </c>
    </row>
    <row r="432">
      <c r="A432" s="1" t="s">
        <v>887</v>
      </c>
      <c r="B432" s="1">
        <v>86.5</v>
      </c>
    </row>
    <row r="433">
      <c r="A433" s="1" t="s">
        <v>888</v>
      </c>
      <c r="B433" s="1">
        <v>72.25</v>
      </c>
    </row>
    <row r="434">
      <c r="A434" s="1" t="s">
        <v>889</v>
      </c>
      <c r="B434" s="1">
        <v>57.45</v>
      </c>
    </row>
    <row r="435">
      <c r="A435" s="1" t="s">
        <v>890</v>
      </c>
      <c r="B435" s="1">
        <v>55.19</v>
      </c>
    </row>
    <row r="436">
      <c r="A436" s="1" t="s">
        <v>891</v>
      </c>
      <c r="B436" s="1">
        <v>65.25</v>
      </c>
    </row>
    <row r="437">
      <c r="A437" s="1" t="s">
        <v>892</v>
      </c>
      <c r="B437" s="1">
        <v>69.47</v>
      </c>
    </row>
    <row r="438">
      <c r="A438" s="1" t="s">
        <v>208</v>
      </c>
      <c r="B438" s="1">
        <v>37.75</v>
      </c>
    </row>
    <row r="439">
      <c r="A439" s="1" t="s">
        <v>893</v>
      </c>
      <c r="B439" s="1">
        <v>61.02</v>
      </c>
    </row>
    <row r="440">
      <c r="A440" s="1" t="s">
        <v>894</v>
      </c>
      <c r="B440" s="1">
        <v>85.03</v>
      </c>
    </row>
    <row r="441">
      <c r="A441" s="1" t="s">
        <v>895</v>
      </c>
      <c r="B441" s="1">
        <v>66.59</v>
      </c>
    </row>
    <row r="442">
      <c r="A442" s="1" t="s">
        <v>896</v>
      </c>
      <c r="B442" s="1">
        <v>48.43</v>
      </c>
    </row>
    <row r="443">
      <c r="A443" s="1" t="s">
        <v>456</v>
      </c>
      <c r="B443" s="1">
        <v>71.09</v>
      </c>
    </row>
    <row r="444">
      <c r="A444" s="1" t="s">
        <v>188</v>
      </c>
      <c r="B444" s="1">
        <v>54.94</v>
      </c>
    </row>
    <row r="445">
      <c r="A445" s="1" t="s">
        <v>897</v>
      </c>
      <c r="B445" s="1">
        <v>85.98</v>
      </c>
    </row>
    <row r="446">
      <c r="A446" s="1" t="s">
        <v>898</v>
      </c>
      <c r="B446" s="1">
        <v>97.0</v>
      </c>
    </row>
    <row r="447">
      <c r="A447" s="1" t="s">
        <v>899</v>
      </c>
      <c r="B447" s="1">
        <v>32.03</v>
      </c>
    </row>
    <row r="448">
      <c r="A448" s="1" t="s">
        <v>900</v>
      </c>
      <c r="B448" s="1">
        <v>0.0</v>
      </c>
    </row>
    <row r="449">
      <c r="A449" s="1" t="s">
        <v>901</v>
      </c>
      <c r="B449" s="1">
        <v>61.69</v>
      </c>
    </row>
    <row r="450">
      <c r="A450" s="1" t="s">
        <v>902</v>
      </c>
      <c r="B450" s="1">
        <v>44.25</v>
      </c>
    </row>
    <row r="451">
      <c r="A451" s="1" t="s">
        <v>903</v>
      </c>
      <c r="B451" s="1">
        <v>85.66</v>
      </c>
    </row>
    <row r="452">
      <c r="A452" s="1" t="s">
        <v>904</v>
      </c>
      <c r="B452" s="1">
        <v>67.88</v>
      </c>
    </row>
    <row r="453">
      <c r="A453" s="1" t="s">
        <v>905</v>
      </c>
      <c r="B453" s="1">
        <v>56.25</v>
      </c>
    </row>
    <row r="454">
      <c r="A454" s="1" t="s">
        <v>906</v>
      </c>
      <c r="B454" s="1">
        <v>39.56</v>
      </c>
    </row>
    <row r="455">
      <c r="A455" s="1" t="s">
        <v>516</v>
      </c>
      <c r="B455" s="1">
        <v>39.81</v>
      </c>
    </row>
    <row r="456">
      <c r="A456" s="1" t="s">
        <v>907</v>
      </c>
      <c r="B456" s="1">
        <v>45.25</v>
      </c>
    </row>
    <row r="457">
      <c r="A457" s="1" t="s">
        <v>908</v>
      </c>
      <c r="B457" s="1">
        <v>66.46</v>
      </c>
    </row>
    <row r="458">
      <c r="A458" s="1" t="s">
        <v>909</v>
      </c>
      <c r="B458" s="1">
        <v>78.28</v>
      </c>
    </row>
    <row r="459">
      <c r="A459" s="1" t="s">
        <v>68</v>
      </c>
      <c r="B459" s="1">
        <v>93.25</v>
      </c>
    </row>
    <row r="460">
      <c r="A460" s="1" t="s">
        <v>910</v>
      </c>
      <c r="B460" s="1">
        <v>73.88</v>
      </c>
    </row>
    <row r="461">
      <c r="A461" s="1" t="s">
        <v>312</v>
      </c>
      <c r="B461" s="1">
        <v>47.78</v>
      </c>
    </row>
    <row r="462">
      <c r="A462" s="1" t="s">
        <v>911</v>
      </c>
      <c r="B462" s="1">
        <v>59.89</v>
      </c>
    </row>
    <row r="463">
      <c r="A463" s="1" t="s">
        <v>912</v>
      </c>
      <c r="B463" s="1">
        <v>22.75</v>
      </c>
    </row>
    <row r="464">
      <c r="A464" s="1" t="s">
        <v>224</v>
      </c>
      <c r="B464" s="1">
        <v>89.45</v>
      </c>
    </row>
    <row r="465">
      <c r="A465" s="1" t="s">
        <v>913</v>
      </c>
      <c r="B465" s="1">
        <v>85.0</v>
      </c>
    </row>
    <row r="466">
      <c r="A466" s="1" t="s">
        <v>308</v>
      </c>
      <c r="B466" s="1">
        <v>34.25</v>
      </c>
    </row>
    <row r="467">
      <c r="A467" s="1" t="s">
        <v>914</v>
      </c>
      <c r="B467" s="1">
        <v>46.83</v>
      </c>
    </row>
    <row r="468">
      <c r="A468" s="1" t="s">
        <v>915</v>
      </c>
      <c r="B468" s="1">
        <v>94.0</v>
      </c>
    </row>
    <row r="469">
      <c r="A469" s="1" t="s">
        <v>40</v>
      </c>
      <c r="B469" s="1">
        <v>70.2</v>
      </c>
    </row>
    <row r="470">
      <c r="A470" s="1" t="s">
        <v>916</v>
      </c>
      <c r="B470" s="1">
        <v>97.0</v>
      </c>
    </row>
    <row r="471">
      <c r="A471" s="1" t="s">
        <v>917</v>
      </c>
      <c r="B471" s="1">
        <v>88.32</v>
      </c>
    </row>
    <row r="472">
      <c r="A472" s="1" t="s">
        <v>504</v>
      </c>
      <c r="B472" s="1">
        <v>66.48</v>
      </c>
    </row>
    <row r="473">
      <c r="A473" s="1" t="s">
        <v>316</v>
      </c>
      <c r="B473" s="1">
        <v>59.75</v>
      </c>
    </row>
    <row r="474">
      <c r="A474" s="1" t="s">
        <v>918</v>
      </c>
      <c r="B474" s="1">
        <v>78.9</v>
      </c>
    </row>
    <row r="475">
      <c r="A475" s="1" t="s">
        <v>919</v>
      </c>
      <c r="B475" s="1">
        <v>69.8</v>
      </c>
    </row>
    <row r="476">
      <c r="A476" s="1" t="s">
        <v>920</v>
      </c>
      <c r="B476" s="1">
        <v>38.25</v>
      </c>
    </row>
    <row r="477">
      <c r="A477" s="1" t="s">
        <v>476</v>
      </c>
      <c r="B477" s="1">
        <v>73.16</v>
      </c>
    </row>
    <row r="478">
      <c r="A478" s="1" t="s">
        <v>921</v>
      </c>
      <c r="B478" s="1">
        <v>69.8</v>
      </c>
    </row>
    <row r="479">
      <c r="A479" s="1" t="s">
        <v>460</v>
      </c>
      <c r="B479" s="1">
        <v>38.25</v>
      </c>
    </row>
    <row r="480">
      <c r="A480" s="1" t="s">
        <v>922</v>
      </c>
      <c r="B480" s="1">
        <v>50.71</v>
      </c>
    </row>
    <row r="481">
      <c r="A481" s="1" t="s">
        <v>923</v>
      </c>
      <c r="B481" s="1">
        <v>88.01</v>
      </c>
    </row>
    <row r="482">
      <c r="A482" s="1" t="s">
        <v>328</v>
      </c>
      <c r="B482" s="1">
        <v>30.75</v>
      </c>
    </row>
    <row r="483">
      <c r="A483" s="1" t="s">
        <v>360</v>
      </c>
      <c r="B483" s="1">
        <v>71.44</v>
      </c>
    </row>
    <row r="484">
      <c r="A484" s="1" t="s">
        <v>924</v>
      </c>
      <c r="B484" s="1">
        <v>97.0</v>
      </c>
    </row>
    <row r="485">
      <c r="A485" s="1" t="s">
        <v>925</v>
      </c>
      <c r="B485" s="1">
        <v>65.41</v>
      </c>
    </row>
    <row r="486">
      <c r="A486" s="1" t="s">
        <v>926</v>
      </c>
      <c r="B486" s="1">
        <v>59.53</v>
      </c>
    </row>
    <row r="487">
      <c r="A487" s="1" t="s">
        <v>927</v>
      </c>
      <c r="B487" s="1">
        <v>55.93</v>
      </c>
    </row>
    <row r="488">
      <c r="A488" s="1" t="s">
        <v>928</v>
      </c>
      <c r="B488" s="1">
        <v>81.7</v>
      </c>
    </row>
    <row r="489">
      <c r="A489" s="1" t="s">
        <v>929</v>
      </c>
      <c r="B489" s="1">
        <v>54.75</v>
      </c>
    </row>
    <row r="490">
      <c r="A490" s="1" t="s">
        <v>548</v>
      </c>
      <c r="B490" s="1">
        <v>69.63</v>
      </c>
    </row>
    <row r="491">
      <c r="A491" s="1" t="s">
        <v>930</v>
      </c>
      <c r="B491" s="1">
        <v>90.0</v>
      </c>
    </row>
    <row r="492">
      <c r="A492" s="1" t="s">
        <v>931</v>
      </c>
      <c r="B492" s="1">
        <v>35.25</v>
      </c>
    </row>
    <row r="493">
      <c r="A493" s="1" t="s">
        <v>376</v>
      </c>
      <c r="B493" s="1">
        <v>76.25</v>
      </c>
    </row>
    <row r="494">
      <c r="A494" s="1" t="s">
        <v>932</v>
      </c>
      <c r="B494" s="1">
        <v>0.0</v>
      </c>
    </row>
    <row r="495">
      <c r="A495" s="1" t="s">
        <v>933</v>
      </c>
      <c r="B495" s="1">
        <v>69.76</v>
      </c>
    </row>
    <row r="496">
      <c r="A496" s="1" t="s">
        <v>184</v>
      </c>
      <c r="B496" s="1">
        <v>51.0</v>
      </c>
    </row>
    <row r="497">
      <c r="A497" s="1" t="s">
        <v>934</v>
      </c>
      <c r="B497" s="1">
        <v>58.5</v>
      </c>
    </row>
    <row r="498">
      <c r="A498" s="1" t="s">
        <v>192</v>
      </c>
      <c r="B498" s="1">
        <v>67.75</v>
      </c>
    </row>
    <row r="499">
      <c r="A499" s="1" t="s">
        <v>440</v>
      </c>
      <c r="B499" s="1">
        <v>89.48</v>
      </c>
    </row>
    <row r="500">
      <c r="A500" s="1" t="s">
        <v>935</v>
      </c>
      <c r="B500" s="1">
        <v>54.25</v>
      </c>
    </row>
    <row r="501">
      <c r="A501" s="1" t="s">
        <v>936</v>
      </c>
      <c r="B501" s="1">
        <v>51.0</v>
      </c>
    </row>
    <row r="502">
      <c r="A502" s="1" t="s">
        <v>272</v>
      </c>
      <c r="B502" s="1">
        <v>66.73</v>
      </c>
    </row>
    <row r="503">
      <c r="A503" s="1" t="s">
        <v>264</v>
      </c>
      <c r="B503" s="1">
        <v>59.0</v>
      </c>
    </row>
    <row r="504">
      <c r="A504" s="1" t="s">
        <v>937</v>
      </c>
      <c r="B504" s="1">
        <v>53.58</v>
      </c>
    </row>
    <row r="505">
      <c r="A505" s="1" t="s">
        <v>938</v>
      </c>
      <c r="B505" s="1">
        <v>50.25</v>
      </c>
    </row>
    <row r="506">
      <c r="A506" s="1" t="s">
        <v>939</v>
      </c>
      <c r="B506" s="1">
        <v>89.16</v>
      </c>
    </row>
    <row r="507">
      <c r="A507" s="1" t="s">
        <v>320</v>
      </c>
      <c r="B507" s="1">
        <v>41.78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940</v>
      </c>
    </row>
    <row r="2">
      <c r="A2" s="1" t="s">
        <v>40</v>
      </c>
      <c r="B2" s="1">
        <v>0.0</v>
      </c>
    </row>
    <row r="3">
      <c r="A3" s="1" t="s">
        <v>48</v>
      </c>
      <c r="B3" s="1">
        <v>0.75</v>
      </c>
    </row>
    <row r="4">
      <c r="A4" s="1" t="s">
        <v>52</v>
      </c>
      <c r="B4" s="1">
        <v>0.0454545454545454</v>
      </c>
    </row>
    <row r="5">
      <c r="A5" s="1" t="s">
        <v>56</v>
      </c>
      <c r="B5" s="1">
        <v>0.125</v>
      </c>
    </row>
    <row r="6">
      <c r="A6" s="1" t="s">
        <v>60</v>
      </c>
      <c r="B6" s="1">
        <v>0.0</v>
      </c>
    </row>
    <row r="7">
      <c r="A7" s="1" t="s">
        <v>64</v>
      </c>
      <c r="B7" s="1">
        <v>0.0</v>
      </c>
    </row>
    <row r="8">
      <c r="A8" s="1" t="s">
        <v>68</v>
      </c>
      <c r="B8" s="1">
        <v>0.0</v>
      </c>
    </row>
    <row r="9">
      <c r="A9" s="1" t="s">
        <v>72</v>
      </c>
      <c r="B9" s="1">
        <v>0.533333333333333</v>
      </c>
    </row>
    <row r="10">
      <c r="A10" s="1" t="s">
        <v>76</v>
      </c>
      <c r="B10" s="1">
        <v>0.722222222222222</v>
      </c>
    </row>
    <row r="11">
      <c r="A11" s="1" t="s">
        <v>80</v>
      </c>
      <c r="B11" s="1">
        <v>0.25</v>
      </c>
    </row>
    <row r="12">
      <c r="A12" s="1" t="s">
        <v>92</v>
      </c>
      <c r="B12" s="1">
        <v>0.142857142857142</v>
      </c>
    </row>
    <row r="13">
      <c r="A13" s="1" t="s">
        <v>96</v>
      </c>
      <c r="B13" s="1">
        <v>0.285714285714285</v>
      </c>
    </row>
    <row r="14">
      <c r="A14" s="1" t="s">
        <v>100</v>
      </c>
      <c r="B14" s="1">
        <v>0.541666666666666</v>
      </c>
    </row>
    <row r="15">
      <c r="A15" s="1" t="s">
        <v>104</v>
      </c>
      <c r="B15" s="1">
        <v>0.0</v>
      </c>
    </row>
    <row r="16">
      <c r="A16" s="1" t="s">
        <v>108</v>
      </c>
      <c r="B16" s="1">
        <v>0.375</v>
      </c>
    </row>
    <row r="17">
      <c r="A17" s="1" t="s">
        <v>116</v>
      </c>
      <c r="B17" s="1">
        <v>0.52</v>
      </c>
    </row>
    <row r="18">
      <c r="A18" s="1" t="s">
        <v>120</v>
      </c>
      <c r="B18" s="1">
        <v>0.0</v>
      </c>
    </row>
    <row r="19">
      <c r="A19" s="1" t="s">
        <v>124</v>
      </c>
      <c r="B19" s="1">
        <v>0.0</v>
      </c>
    </row>
    <row r="20">
      <c r="A20" s="1" t="s">
        <v>128</v>
      </c>
      <c r="B20" s="1">
        <v>0.260869565217391</v>
      </c>
    </row>
    <row r="21">
      <c r="A21" s="1" t="s">
        <v>132</v>
      </c>
      <c r="B21" s="1">
        <v>0.2</v>
      </c>
    </row>
    <row r="22">
      <c r="A22" s="1" t="s">
        <v>136</v>
      </c>
      <c r="B22" s="1">
        <v>0.333333333333333</v>
      </c>
    </row>
    <row r="23">
      <c r="A23" s="1" t="s">
        <v>144</v>
      </c>
      <c r="B23" s="1">
        <v>0.0</v>
      </c>
    </row>
    <row r="24">
      <c r="A24" s="1" t="s">
        <v>148</v>
      </c>
      <c r="B24" s="1">
        <v>1.0</v>
      </c>
    </row>
    <row r="25">
      <c r="A25" s="1" t="s">
        <v>152</v>
      </c>
      <c r="B25" s="1">
        <v>0.2</v>
      </c>
    </row>
    <row r="26">
      <c r="A26" s="1" t="s">
        <v>156</v>
      </c>
      <c r="B26" s="1">
        <v>0.2</v>
      </c>
    </row>
    <row r="27">
      <c r="A27" s="1" t="s">
        <v>160</v>
      </c>
      <c r="B27" s="1">
        <v>0.0</v>
      </c>
    </row>
    <row r="28">
      <c r="A28" s="1" t="s">
        <v>168</v>
      </c>
      <c r="B28" s="1">
        <v>0.2</v>
      </c>
    </row>
    <row r="29">
      <c r="A29" s="1" t="s">
        <v>172</v>
      </c>
      <c r="B29" s="1">
        <v>0.692307692307692</v>
      </c>
    </row>
    <row r="30">
      <c r="A30" s="1" t="s">
        <v>176</v>
      </c>
      <c r="B30" s="1">
        <v>0.25</v>
      </c>
    </row>
    <row r="31">
      <c r="A31" s="1" t="s">
        <v>180</v>
      </c>
      <c r="B31" s="1">
        <v>0.695652173913043</v>
      </c>
    </row>
    <row r="32">
      <c r="A32" s="1" t="s">
        <v>184</v>
      </c>
      <c r="B32" s="1">
        <v>0.346153846153846</v>
      </c>
    </row>
    <row r="33">
      <c r="A33" s="1" t="s">
        <v>196</v>
      </c>
      <c r="B33" s="1">
        <v>0.823529411764705</v>
      </c>
    </row>
    <row r="34">
      <c r="A34" s="1" t="s">
        <v>204</v>
      </c>
      <c r="B34" s="1">
        <v>0.58</v>
      </c>
    </row>
    <row r="35">
      <c r="A35" s="1" t="s">
        <v>208</v>
      </c>
      <c r="B35" s="1">
        <v>1.0</v>
      </c>
    </row>
    <row r="36">
      <c r="A36" s="1" t="s">
        <v>216</v>
      </c>
      <c r="B36" s="1">
        <v>0.1875</v>
      </c>
    </row>
    <row r="37">
      <c r="A37" s="1" t="s">
        <v>220</v>
      </c>
      <c r="B37" s="1">
        <v>0.277777777777777</v>
      </c>
    </row>
    <row r="38">
      <c r="A38" s="1" t="s">
        <v>224</v>
      </c>
      <c r="B38" s="1">
        <v>0.0</v>
      </c>
    </row>
    <row r="39">
      <c r="A39" s="1" t="s">
        <v>228</v>
      </c>
      <c r="B39" s="1">
        <v>0.0555555555555555</v>
      </c>
    </row>
    <row r="40">
      <c r="A40" s="1" t="s">
        <v>236</v>
      </c>
      <c r="B40" s="1">
        <v>0.0</v>
      </c>
    </row>
    <row r="41">
      <c r="A41" s="1" t="s">
        <v>240</v>
      </c>
      <c r="B41" s="1">
        <v>0.0</v>
      </c>
    </row>
    <row r="42">
      <c r="A42" s="1" t="s">
        <v>244</v>
      </c>
      <c r="B42" s="1">
        <v>0.25</v>
      </c>
    </row>
    <row r="43">
      <c r="A43" s="1" t="s">
        <v>248</v>
      </c>
      <c r="B43" s="1">
        <v>0.25</v>
      </c>
    </row>
    <row r="44">
      <c r="A44" s="1" t="s">
        <v>252</v>
      </c>
      <c r="B44" s="1">
        <v>0.333333333333333</v>
      </c>
    </row>
    <row r="45">
      <c r="A45" s="1" t="s">
        <v>256</v>
      </c>
      <c r="B45" s="1">
        <v>0.714285714285714</v>
      </c>
    </row>
    <row r="46">
      <c r="A46" s="1" t="s">
        <v>264</v>
      </c>
      <c r="B46" s="1">
        <v>0.875</v>
      </c>
    </row>
    <row r="47">
      <c r="A47" s="1" t="s">
        <v>268</v>
      </c>
      <c r="B47" s="1">
        <v>0.571428571428571</v>
      </c>
    </row>
    <row r="48">
      <c r="A48" s="1" t="s">
        <v>272</v>
      </c>
      <c r="B48" s="1">
        <v>1.0</v>
      </c>
    </row>
    <row r="49">
      <c r="A49" s="1" t="s">
        <v>276</v>
      </c>
      <c r="B49" s="1">
        <v>0.0</v>
      </c>
    </row>
    <row r="50">
      <c r="A50" s="1" t="s">
        <v>280</v>
      </c>
      <c r="B50" s="1">
        <v>0.333333333333333</v>
      </c>
    </row>
    <row r="51">
      <c r="A51" s="1" t="s">
        <v>284</v>
      </c>
      <c r="B51" s="1">
        <v>1.0</v>
      </c>
    </row>
    <row r="52">
      <c r="A52" s="1" t="s">
        <v>288</v>
      </c>
      <c r="B52" s="1">
        <v>0.769230769230769</v>
      </c>
    </row>
    <row r="53">
      <c r="A53" s="1" t="s">
        <v>292</v>
      </c>
      <c r="B53" s="1">
        <v>0.125</v>
      </c>
    </row>
    <row r="54">
      <c r="A54" s="1" t="s">
        <v>304</v>
      </c>
      <c r="B54" s="1">
        <v>0.5</v>
      </c>
    </row>
    <row r="55">
      <c r="A55" s="1" t="s">
        <v>308</v>
      </c>
      <c r="B55" s="1">
        <v>0.7</v>
      </c>
    </row>
    <row r="56">
      <c r="A56" s="1" t="s">
        <v>312</v>
      </c>
      <c r="B56" s="1">
        <v>0.571428571428571</v>
      </c>
    </row>
    <row r="57">
      <c r="A57" s="1" t="s">
        <v>316</v>
      </c>
      <c r="B57" s="1">
        <v>0.166666666666666</v>
      </c>
    </row>
    <row r="58">
      <c r="A58" s="1" t="s">
        <v>320</v>
      </c>
      <c r="B58" s="1">
        <v>0.5</v>
      </c>
    </row>
    <row r="59">
      <c r="A59" s="1" t="s">
        <v>324</v>
      </c>
      <c r="B59" s="1">
        <v>0.0</v>
      </c>
    </row>
    <row r="60">
      <c r="A60" s="1" t="s">
        <v>328</v>
      </c>
      <c r="B60" s="1">
        <v>0.75</v>
      </c>
    </row>
    <row r="61">
      <c r="A61" s="1" t="s">
        <v>332</v>
      </c>
      <c r="B61" s="1">
        <v>0.208333333333333</v>
      </c>
    </row>
    <row r="62">
      <c r="A62" s="1" t="s">
        <v>336</v>
      </c>
      <c r="B62" s="1">
        <v>1.0</v>
      </c>
    </row>
    <row r="63">
      <c r="A63" s="1" t="s">
        <v>340</v>
      </c>
      <c r="B63" s="1">
        <v>0.583333333333333</v>
      </c>
    </row>
    <row r="64">
      <c r="A64" s="1" t="s">
        <v>344</v>
      </c>
      <c r="B64" s="1">
        <v>0.0</v>
      </c>
    </row>
    <row r="65">
      <c r="A65" s="1" t="s">
        <v>348</v>
      </c>
      <c r="B65" s="1">
        <v>0.0</v>
      </c>
    </row>
    <row r="66">
      <c r="A66" s="1" t="s">
        <v>352</v>
      </c>
      <c r="B66" s="1">
        <v>0.578947368421052</v>
      </c>
    </row>
    <row r="67">
      <c r="A67" s="1" t="s">
        <v>360</v>
      </c>
      <c r="B67" s="1">
        <v>0.666666666666666</v>
      </c>
    </row>
    <row r="68">
      <c r="A68" s="1" t="s">
        <v>364</v>
      </c>
      <c r="B68" s="1">
        <v>0.0</v>
      </c>
    </row>
    <row r="69">
      <c r="A69" s="1" t="s">
        <v>368</v>
      </c>
      <c r="B69" s="1">
        <v>1.0</v>
      </c>
    </row>
    <row r="70">
      <c r="A70" s="1" t="s">
        <v>372</v>
      </c>
      <c r="B70" s="1">
        <v>0.75</v>
      </c>
    </row>
    <row r="71">
      <c r="A71" s="1" t="s">
        <v>376</v>
      </c>
      <c r="B71" s="1">
        <v>0.263157894736842</v>
      </c>
    </row>
    <row r="72">
      <c r="A72" s="1" t="s">
        <v>380</v>
      </c>
      <c r="B72" s="1">
        <v>0.0</v>
      </c>
    </row>
    <row r="73">
      <c r="A73" s="1" t="s">
        <v>388</v>
      </c>
      <c r="B73" s="1">
        <v>1.0</v>
      </c>
    </row>
    <row r="74">
      <c r="A74" s="1" t="s">
        <v>392</v>
      </c>
      <c r="B74" s="1">
        <v>0.625</v>
      </c>
    </row>
    <row r="75">
      <c r="A75" s="1" t="s">
        <v>396</v>
      </c>
      <c r="B75" s="1">
        <v>0.428571428571428</v>
      </c>
    </row>
    <row r="76">
      <c r="A76" s="1" t="s">
        <v>400</v>
      </c>
      <c r="B76" s="1">
        <v>0.0769230769230769</v>
      </c>
    </row>
    <row r="77">
      <c r="A77" s="1" t="s">
        <v>404</v>
      </c>
      <c r="B77" s="1">
        <v>0.666666666666666</v>
      </c>
    </row>
    <row r="78">
      <c r="A78" s="1" t="s">
        <v>412</v>
      </c>
      <c r="B78" s="1">
        <v>0.333333333333333</v>
      </c>
    </row>
    <row r="79">
      <c r="A79" s="1" t="s">
        <v>416</v>
      </c>
      <c r="B79" s="1">
        <v>0.8</v>
      </c>
    </row>
    <row r="80">
      <c r="A80" s="1" t="s">
        <v>420</v>
      </c>
      <c r="B80" s="1">
        <v>0.0</v>
      </c>
    </row>
    <row r="81">
      <c r="A81" s="1" t="s">
        <v>424</v>
      </c>
      <c r="B81" s="1">
        <v>0.4</v>
      </c>
    </row>
    <row r="82">
      <c r="A82" s="1" t="s">
        <v>428</v>
      </c>
      <c r="B82" s="1">
        <v>0.142857142857142</v>
      </c>
    </row>
    <row r="83">
      <c r="A83" s="1" t="s">
        <v>432</v>
      </c>
      <c r="B83" s="1">
        <v>0.666666666666666</v>
      </c>
    </row>
    <row r="84">
      <c r="A84" s="1" t="s">
        <v>440</v>
      </c>
      <c r="B84" s="1">
        <v>0.384615384615384</v>
      </c>
    </row>
    <row r="85">
      <c r="A85" s="1" t="s">
        <v>444</v>
      </c>
      <c r="B85" s="1">
        <v>0.416666666666666</v>
      </c>
    </row>
    <row r="86">
      <c r="A86" s="1" t="s">
        <v>448</v>
      </c>
      <c r="B86" s="1">
        <v>0.25</v>
      </c>
    </row>
    <row r="87">
      <c r="A87" s="1" t="s">
        <v>452</v>
      </c>
      <c r="B87" s="1">
        <v>0.272727272727272</v>
      </c>
    </row>
    <row r="88">
      <c r="A88" s="1" t="s">
        <v>456</v>
      </c>
      <c r="B88" s="1">
        <v>0.304347826086956</v>
      </c>
    </row>
    <row r="89">
      <c r="A89" s="1" t="s">
        <v>460</v>
      </c>
      <c r="B89" s="1">
        <v>0.5</v>
      </c>
    </row>
    <row r="90">
      <c r="A90" s="1" t="s">
        <v>464</v>
      </c>
      <c r="B90" s="1">
        <v>0.5</v>
      </c>
    </row>
    <row r="91">
      <c r="A91" s="1" t="s">
        <v>468</v>
      </c>
      <c r="B91" s="1">
        <v>0.0</v>
      </c>
    </row>
    <row r="92">
      <c r="A92" s="1" t="s">
        <v>472</v>
      </c>
      <c r="B92" s="1">
        <v>0.647058823529411</v>
      </c>
    </row>
    <row r="93">
      <c r="A93" s="1" t="s">
        <v>476</v>
      </c>
      <c r="B93" s="1">
        <v>0.318181818181818</v>
      </c>
    </row>
    <row r="94">
      <c r="A94" s="1" t="s">
        <v>480</v>
      </c>
      <c r="B94" s="1">
        <v>0.25</v>
      </c>
    </row>
    <row r="95">
      <c r="A95" s="1" t="s">
        <v>484</v>
      </c>
      <c r="B95" s="1">
        <v>0.75</v>
      </c>
    </row>
    <row r="96">
      <c r="A96" s="1" t="s">
        <v>488</v>
      </c>
      <c r="B96" s="1">
        <v>0.866666666666666</v>
      </c>
    </row>
    <row r="97">
      <c r="A97" s="1" t="s">
        <v>492</v>
      </c>
      <c r="B97" s="1">
        <v>0.0</v>
      </c>
    </row>
    <row r="98">
      <c r="A98" s="1" t="s">
        <v>496</v>
      </c>
      <c r="B98" s="1">
        <v>0.0</v>
      </c>
    </row>
    <row r="99">
      <c r="A99" s="1" t="s">
        <v>504</v>
      </c>
      <c r="B99" s="1">
        <v>0.666666666666666</v>
      </c>
    </row>
    <row r="100">
      <c r="A100" s="1" t="s">
        <v>512</v>
      </c>
      <c r="B100" s="1">
        <v>0.0</v>
      </c>
    </row>
    <row r="101">
      <c r="A101" s="1" t="s">
        <v>516</v>
      </c>
      <c r="B101" s="1">
        <v>1.0</v>
      </c>
    </row>
    <row r="102">
      <c r="A102" s="1" t="s">
        <v>520</v>
      </c>
      <c r="B102" s="1">
        <v>0.214285714285714</v>
      </c>
    </row>
    <row r="103">
      <c r="A103" s="1" t="s">
        <v>524</v>
      </c>
      <c r="B103" s="1">
        <v>0.0</v>
      </c>
    </row>
    <row r="104">
      <c r="A104" s="1" t="s">
        <v>532</v>
      </c>
      <c r="B104" s="1">
        <v>0.4</v>
      </c>
    </row>
    <row r="105">
      <c r="A105" s="1" t="s">
        <v>536</v>
      </c>
      <c r="B105" s="1">
        <v>1.0</v>
      </c>
    </row>
    <row r="106">
      <c r="A106" s="1" t="s">
        <v>540</v>
      </c>
      <c r="B106" s="1">
        <v>0.636363636363636</v>
      </c>
    </row>
    <row r="107">
      <c r="A107" s="1" t="s">
        <v>544</v>
      </c>
      <c r="B107" s="1">
        <v>0.666666666666666</v>
      </c>
    </row>
    <row r="108">
      <c r="A108" s="1" t="s">
        <v>548</v>
      </c>
      <c r="B108" s="1">
        <v>0.5</v>
      </c>
    </row>
    <row r="109">
      <c r="A109" s="1" t="s">
        <v>552</v>
      </c>
      <c r="B109" s="1">
        <v>0.272727272727272</v>
      </c>
    </row>
    <row r="110">
      <c r="A110" s="1" t="s">
        <v>556</v>
      </c>
      <c r="B110" s="1">
        <v>1.0</v>
      </c>
    </row>
    <row r="111">
      <c r="A111" s="1" t="s">
        <v>560</v>
      </c>
      <c r="B111" s="1">
        <v>0.833333333333333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</row>
    <row r="2">
      <c r="A2" s="1" t="s">
        <v>40</v>
      </c>
      <c r="B2" s="16">
        <v>0.0</v>
      </c>
    </row>
    <row r="3">
      <c r="A3" s="1" t="s">
        <v>48</v>
      </c>
      <c r="B3" s="16">
        <v>0.5625</v>
      </c>
    </row>
    <row r="4">
      <c r="A4" s="1" t="s">
        <v>52</v>
      </c>
      <c r="B4" s="16">
        <v>0.02272727</v>
      </c>
    </row>
    <row r="5">
      <c r="A5" s="1" t="s">
        <v>56</v>
      </c>
      <c r="B5" s="16">
        <v>0.0625</v>
      </c>
    </row>
    <row r="6">
      <c r="A6" s="1" t="s">
        <v>60</v>
      </c>
      <c r="B6" s="16">
        <v>0.0</v>
      </c>
    </row>
    <row r="7">
      <c r="A7" s="1" t="s">
        <v>64</v>
      </c>
      <c r="B7" s="16">
        <v>0.0</v>
      </c>
    </row>
    <row r="8">
      <c r="A8" s="1" t="s">
        <v>68</v>
      </c>
      <c r="B8" s="16">
        <v>0.0</v>
      </c>
    </row>
    <row r="9">
      <c r="A9" s="1" t="s">
        <v>72</v>
      </c>
      <c r="B9" s="16">
        <v>0.42777778</v>
      </c>
    </row>
    <row r="10">
      <c r="A10" s="1" t="s">
        <v>76</v>
      </c>
      <c r="B10" s="16">
        <v>0.61871025</v>
      </c>
    </row>
    <row r="11">
      <c r="A11" s="1" t="s">
        <v>80</v>
      </c>
      <c r="B11" s="16">
        <v>0.16666667</v>
      </c>
    </row>
    <row r="12">
      <c r="A12" s="1" t="s">
        <v>92</v>
      </c>
      <c r="B12" s="16">
        <v>0.07142857</v>
      </c>
    </row>
    <row r="13">
      <c r="A13" s="1" t="s">
        <v>96</v>
      </c>
      <c r="B13" s="16">
        <v>0.16666667</v>
      </c>
    </row>
    <row r="14">
      <c r="A14" s="1" t="s">
        <v>100</v>
      </c>
      <c r="B14" s="16">
        <v>0.46180556</v>
      </c>
    </row>
    <row r="15">
      <c r="A15" s="1" t="s">
        <v>104</v>
      </c>
      <c r="B15" s="16">
        <v>0.0</v>
      </c>
    </row>
    <row r="16">
      <c r="A16" s="1" t="s">
        <v>108</v>
      </c>
      <c r="B16" s="16">
        <v>0.28125</v>
      </c>
    </row>
    <row r="17">
      <c r="A17" s="1" t="s">
        <v>116</v>
      </c>
      <c r="B17" s="16">
        <v>0.386</v>
      </c>
    </row>
    <row r="18">
      <c r="A18" s="1" t="s">
        <v>120</v>
      </c>
      <c r="B18" s="16">
        <v>0.0</v>
      </c>
    </row>
    <row r="19">
      <c r="A19" s="1" t="s">
        <v>124</v>
      </c>
      <c r="B19" s="16">
        <v>0.0</v>
      </c>
    </row>
    <row r="20">
      <c r="A20" s="1" t="s">
        <v>128</v>
      </c>
      <c r="B20" s="16">
        <v>0.20289855</v>
      </c>
    </row>
    <row r="21">
      <c r="A21" s="1" t="s">
        <v>132</v>
      </c>
      <c r="B21" s="16">
        <v>0.1</v>
      </c>
    </row>
    <row r="22">
      <c r="A22" s="1" t="s">
        <v>136</v>
      </c>
      <c r="B22" s="16">
        <v>0.16666667</v>
      </c>
    </row>
    <row r="23">
      <c r="A23" s="1" t="s">
        <v>144</v>
      </c>
      <c r="B23" s="16">
        <v>0.0</v>
      </c>
    </row>
    <row r="24">
      <c r="A24" s="1" t="s">
        <v>148</v>
      </c>
      <c r="B24" s="16">
        <v>0.8</v>
      </c>
    </row>
    <row r="25">
      <c r="A25" s="1" t="s">
        <v>152</v>
      </c>
      <c r="B25" s="16">
        <v>0.1375</v>
      </c>
    </row>
    <row r="26">
      <c r="A26" s="1" t="s">
        <v>156</v>
      </c>
      <c r="B26" s="16">
        <v>0.1</v>
      </c>
    </row>
    <row r="27">
      <c r="A27" s="1" t="s">
        <v>160</v>
      </c>
      <c r="B27" s="16">
        <v>0.0</v>
      </c>
    </row>
    <row r="28">
      <c r="A28" s="1" t="s">
        <v>168</v>
      </c>
      <c r="B28" s="16">
        <v>0.1</v>
      </c>
    </row>
    <row r="29">
      <c r="A29" s="1" t="s">
        <v>172</v>
      </c>
      <c r="B29" s="16">
        <v>0.58547009</v>
      </c>
    </row>
    <row r="30">
      <c r="A30" s="1" t="s">
        <v>176</v>
      </c>
      <c r="B30" s="16">
        <v>0.125</v>
      </c>
    </row>
    <row r="31">
      <c r="A31" s="1" t="s">
        <v>180</v>
      </c>
      <c r="B31" s="16">
        <v>0.59075224</v>
      </c>
    </row>
    <row r="32">
      <c r="A32" s="1" t="s">
        <v>184</v>
      </c>
      <c r="B32" s="16">
        <v>0.25</v>
      </c>
    </row>
    <row r="33">
      <c r="A33" s="1" t="s">
        <v>196</v>
      </c>
      <c r="B33" s="16">
        <v>0.72299465</v>
      </c>
    </row>
    <row r="34">
      <c r="A34" s="1" t="s">
        <v>204</v>
      </c>
      <c r="B34" s="16">
        <v>0.51855263</v>
      </c>
    </row>
    <row r="35">
      <c r="A35" s="1" t="s">
        <v>208</v>
      </c>
      <c r="B35" s="16">
        <v>0.75</v>
      </c>
    </row>
    <row r="36">
      <c r="A36" s="1" t="s">
        <v>216</v>
      </c>
      <c r="B36" s="16">
        <v>0.140625</v>
      </c>
    </row>
    <row r="37">
      <c r="A37" s="1" t="s">
        <v>220</v>
      </c>
      <c r="B37" s="16">
        <v>0.18055556</v>
      </c>
    </row>
    <row r="38">
      <c r="A38" s="1" t="s">
        <v>224</v>
      </c>
      <c r="B38" s="16">
        <v>0.0</v>
      </c>
    </row>
    <row r="39">
      <c r="A39" s="1" t="s">
        <v>228</v>
      </c>
      <c r="B39" s="16">
        <v>0.02777778</v>
      </c>
    </row>
    <row r="40">
      <c r="A40" s="1" t="s">
        <v>236</v>
      </c>
      <c r="B40" s="16">
        <v>0.0</v>
      </c>
    </row>
    <row r="41">
      <c r="A41" s="1" t="s">
        <v>240</v>
      </c>
      <c r="B41" s="16">
        <v>0.0</v>
      </c>
    </row>
    <row r="42">
      <c r="A42" s="1" t="s">
        <v>244</v>
      </c>
      <c r="B42" s="16">
        <v>0.125</v>
      </c>
    </row>
    <row r="43">
      <c r="A43" s="1" t="s">
        <v>248</v>
      </c>
      <c r="B43" s="16">
        <v>0.125</v>
      </c>
    </row>
    <row r="44">
      <c r="A44" s="1" t="s">
        <v>252</v>
      </c>
      <c r="B44" s="16">
        <v>0.16666667</v>
      </c>
    </row>
    <row r="45">
      <c r="A45" s="1" t="s">
        <v>256</v>
      </c>
      <c r="B45" s="16">
        <v>0.63061224</v>
      </c>
    </row>
    <row r="46">
      <c r="A46" s="1" t="s">
        <v>264</v>
      </c>
      <c r="B46" s="16">
        <v>0.765625</v>
      </c>
    </row>
    <row r="47">
      <c r="A47" s="1" t="s">
        <v>268</v>
      </c>
      <c r="B47" s="16">
        <v>0.45714286</v>
      </c>
    </row>
    <row r="48">
      <c r="A48" s="1" t="s">
        <v>272</v>
      </c>
      <c r="B48" s="16">
        <v>0.92307692</v>
      </c>
    </row>
    <row r="49">
      <c r="A49" s="1" t="s">
        <v>276</v>
      </c>
      <c r="B49" s="16">
        <v>0.0</v>
      </c>
    </row>
    <row r="50">
      <c r="A50" s="1" t="s">
        <v>280</v>
      </c>
      <c r="B50" s="16">
        <v>0.22222222</v>
      </c>
    </row>
    <row r="51">
      <c r="A51" s="1" t="s">
        <v>284</v>
      </c>
      <c r="B51" s="16">
        <v>0.93333333</v>
      </c>
    </row>
    <row r="52">
      <c r="A52" s="1" t="s">
        <v>288</v>
      </c>
      <c r="B52" s="16">
        <v>0.6993007</v>
      </c>
    </row>
    <row r="53">
      <c r="A53" s="1" t="s">
        <v>292</v>
      </c>
      <c r="B53" s="16">
        <v>0.0625</v>
      </c>
    </row>
    <row r="54">
      <c r="A54" s="1" t="s">
        <v>304</v>
      </c>
      <c r="B54" s="16">
        <v>0.4</v>
      </c>
    </row>
    <row r="55">
      <c r="A55" s="1" t="s">
        <v>308</v>
      </c>
      <c r="B55" s="16">
        <v>0.6125</v>
      </c>
    </row>
    <row r="56">
      <c r="A56" s="1" t="s">
        <v>312</v>
      </c>
      <c r="B56" s="16">
        <v>0.45714286</v>
      </c>
    </row>
    <row r="57">
      <c r="A57" s="1" t="s">
        <v>316</v>
      </c>
      <c r="B57" s="16">
        <v>0.11111111</v>
      </c>
    </row>
    <row r="58">
      <c r="A58" s="1" t="s">
        <v>320</v>
      </c>
      <c r="B58" s="16">
        <v>0.25</v>
      </c>
    </row>
    <row r="59">
      <c r="A59" s="1" t="s">
        <v>324</v>
      </c>
      <c r="B59" s="16">
        <v>0.0</v>
      </c>
    </row>
    <row r="60">
      <c r="A60" s="1" t="s">
        <v>328</v>
      </c>
      <c r="B60" s="16">
        <v>0.64444444</v>
      </c>
    </row>
    <row r="61">
      <c r="A61" s="1" t="s">
        <v>332</v>
      </c>
      <c r="B61" s="16">
        <v>0.13541667</v>
      </c>
    </row>
    <row r="62">
      <c r="A62" s="1" t="s">
        <v>336</v>
      </c>
      <c r="B62" s="16">
        <v>0.83333333</v>
      </c>
    </row>
    <row r="63">
      <c r="A63" s="1" t="s">
        <v>340</v>
      </c>
      <c r="B63" s="16">
        <v>0.51041667</v>
      </c>
    </row>
    <row r="64">
      <c r="A64" s="1" t="s">
        <v>344</v>
      </c>
      <c r="B64" s="16">
        <v>0.0</v>
      </c>
    </row>
    <row r="65">
      <c r="A65" s="1" t="s">
        <v>348</v>
      </c>
      <c r="B65" s="16">
        <v>0.0</v>
      </c>
    </row>
    <row r="66">
      <c r="A66" s="1" t="s">
        <v>352</v>
      </c>
      <c r="B66" s="16">
        <v>0.49649123</v>
      </c>
    </row>
    <row r="67">
      <c r="A67" s="1" t="s">
        <v>360</v>
      </c>
      <c r="B67" s="16">
        <v>0.57142857</v>
      </c>
    </row>
    <row r="68">
      <c r="A68" s="1" t="s">
        <v>364</v>
      </c>
      <c r="B68" s="16">
        <v>0.0</v>
      </c>
    </row>
    <row r="69">
      <c r="A69" s="1" t="s">
        <v>368</v>
      </c>
      <c r="B69" s="16">
        <v>0.85714286</v>
      </c>
    </row>
    <row r="70">
      <c r="A70" s="1" t="s">
        <v>372</v>
      </c>
      <c r="B70" s="16">
        <v>0.5625</v>
      </c>
    </row>
    <row r="71">
      <c r="A71" s="1" t="s">
        <v>376</v>
      </c>
      <c r="B71" s="16">
        <v>0.19473684</v>
      </c>
    </row>
    <row r="72">
      <c r="A72" s="1" t="s">
        <v>380</v>
      </c>
      <c r="B72" s="16">
        <v>0.0</v>
      </c>
    </row>
    <row r="73">
      <c r="A73" s="1" t="s">
        <v>388</v>
      </c>
      <c r="B73" s="16">
        <v>0.75</v>
      </c>
    </row>
    <row r="74">
      <c r="A74" s="1" t="s">
        <v>392</v>
      </c>
      <c r="B74" s="16">
        <v>0.52083333</v>
      </c>
    </row>
    <row r="75">
      <c r="A75" s="1" t="s">
        <v>396</v>
      </c>
      <c r="B75" s="16">
        <v>0.21428571</v>
      </c>
    </row>
    <row r="76">
      <c r="A76" s="1" t="s">
        <v>400</v>
      </c>
      <c r="B76" s="16">
        <v>0.03846154</v>
      </c>
    </row>
    <row r="77">
      <c r="A77" s="1" t="s">
        <v>404</v>
      </c>
      <c r="B77" s="16">
        <v>0.44444444</v>
      </c>
    </row>
    <row r="78">
      <c r="A78" s="1" t="s">
        <v>412</v>
      </c>
      <c r="B78" s="16">
        <v>0.16666667</v>
      </c>
    </row>
    <row r="79">
      <c r="A79" s="1" t="s">
        <v>416</v>
      </c>
      <c r="B79" s="16">
        <v>0.53333333</v>
      </c>
    </row>
    <row r="80">
      <c r="A80" s="1" t="s">
        <v>420</v>
      </c>
      <c r="B80" s="16">
        <v>0.0</v>
      </c>
    </row>
    <row r="81">
      <c r="A81" s="1" t="s">
        <v>424</v>
      </c>
      <c r="B81" s="16">
        <v>0.26666667</v>
      </c>
    </row>
    <row r="82">
      <c r="A82" s="1" t="s">
        <v>428</v>
      </c>
      <c r="B82" s="16">
        <v>0.07142857</v>
      </c>
    </row>
    <row r="83">
      <c r="A83" s="1" t="s">
        <v>432</v>
      </c>
      <c r="B83" s="16">
        <v>0.5037037</v>
      </c>
    </row>
    <row r="84">
      <c r="A84" s="1" t="s">
        <v>440</v>
      </c>
      <c r="B84" s="16">
        <v>0.29326923</v>
      </c>
    </row>
    <row r="85">
      <c r="A85" s="1" t="s">
        <v>444</v>
      </c>
      <c r="B85" s="16">
        <v>0.29861111</v>
      </c>
    </row>
    <row r="86">
      <c r="A86" s="1" t="s">
        <v>448</v>
      </c>
      <c r="B86" s="16">
        <v>0.125</v>
      </c>
    </row>
    <row r="87">
      <c r="A87" s="1" t="s">
        <v>452</v>
      </c>
      <c r="B87" s="16">
        <v>0.16666667</v>
      </c>
    </row>
    <row r="88">
      <c r="A88" s="1" t="s">
        <v>456</v>
      </c>
      <c r="B88" s="16">
        <v>0.2173913</v>
      </c>
    </row>
    <row r="89">
      <c r="A89" s="1" t="s">
        <v>460</v>
      </c>
      <c r="B89" s="16">
        <v>0.33333333</v>
      </c>
    </row>
    <row r="90">
      <c r="A90" s="1" t="s">
        <v>464</v>
      </c>
      <c r="B90" s="16">
        <v>0.25</v>
      </c>
    </row>
    <row r="91">
      <c r="A91" s="1" t="s">
        <v>468</v>
      </c>
      <c r="B91" s="16">
        <v>0.0</v>
      </c>
    </row>
    <row r="92">
      <c r="A92" s="1" t="s">
        <v>472</v>
      </c>
      <c r="B92" s="16">
        <v>0.59313725</v>
      </c>
    </row>
    <row r="93">
      <c r="A93" s="1" t="s">
        <v>476</v>
      </c>
      <c r="B93" s="16">
        <v>0.25649351</v>
      </c>
    </row>
    <row r="94">
      <c r="A94" s="1" t="s">
        <v>480</v>
      </c>
      <c r="B94" s="16">
        <v>0.125</v>
      </c>
    </row>
    <row r="95">
      <c r="A95" s="1" t="s">
        <v>484</v>
      </c>
      <c r="B95" s="16">
        <v>0.61607143</v>
      </c>
    </row>
    <row r="96">
      <c r="A96" s="1" t="s">
        <v>488</v>
      </c>
      <c r="B96" s="16">
        <v>0.78175439</v>
      </c>
    </row>
    <row r="97">
      <c r="A97" s="1" t="s">
        <v>492</v>
      </c>
      <c r="B97" s="16">
        <v>0.0</v>
      </c>
    </row>
    <row r="98">
      <c r="A98" s="1" t="s">
        <v>496</v>
      </c>
      <c r="B98" s="16">
        <v>0.0</v>
      </c>
    </row>
    <row r="99">
      <c r="A99" s="1" t="s">
        <v>504</v>
      </c>
      <c r="B99" s="16">
        <v>0.44444444</v>
      </c>
    </row>
    <row r="100">
      <c r="A100" s="1" t="s">
        <v>512</v>
      </c>
      <c r="B100" s="16">
        <v>0.0</v>
      </c>
    </row>
    <row r="101">
      <c r="A101" s="1" t="s">
        <v>516</v>
      </c>
      <c r="B101" s="16">
        <v>0.83333333</v>
      </c>
    </row>
    <row r="102">
      <c r="A102" s="1" t="s">
        <v>520</v>
      </c>
      <c r="B102" s="16">
        <v>0.16190476</v>
      </c>
    </row>
    <row r="103">
      <c r="A103" s="1" t="s">
        <v>524</v>
      </c>
      <c r="B103" s="16">
        <v>0.0</v>
      </c>
    </row>
    <row r="104">
      <c r="A104" s="1" t="s">
        <v>532</v>
      </c>
      <c r="B104" s="16">
        <v>0.26666667</v>
      </c>
    </row>
    <row r="105">
      <c r="A105" s="1" t="s">
        <v>536</v>
      </c>
      <c r="B105" s="16">
        <v>0.86675824</v>
      </c>
    </row>
    <row r="106">
      <c r="A106" s="1" t="s">
        <v>540</v>
      </c>
      <c r="B106" s="16">
        <v>0.5004329</v>
      </c>
    </row>
    <row r="107">
      <c r="A107" s="1" t="s">
        <v>544</v>
      </c>
      <c r="B107" s="16">
        <v>0.54497354</v>
      </c>
    </row>
    <row r="108">
      <c r="A108" s="1" t="s">
        <v>548</v>
      </c>
      <c r="B108" s="16">
        <v>0.34027778</v>
      </c>
    </row>
    <row r="109">
      <c r="A109" s="1" t="s">
        <v>552</v>
      </c>
      <c r="B109" s="16">
        <v>0.16666667</v>
      </c>
    </row>
    <row r="110">
      <c r="A110" s="1" t="s">
        <v>556</v>
      </c>
      <c r="B110" s="16">
        <v>0.90909091</v>
      </c>
    </row>
    <row r="111">
      <c r="A111" s="1" t="s">
        <v>560</v>
      </c>
      <c r="B111" s="16">
        <v>0.69444444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941</v>
      </c>
    </row>
    <row r="2">
      <c r="A2" s="1" t="s">
        <v>40</v>
      </c>
      <c r="B2" s="16">
        <v>4.0</v>
      </c>
    </row>
    <row r="3">
      <c r="A3" s="1" t="s">
        <v>44</v>
      </c>
      <c r="B3" s="16">
        <v>1.0</v>
      </c>
    </row>
    <row r="4">
      <c r="A4" s="1" t="s">
        <v>48</v>
      </c>
      <c r="B4" s="16">
        <v>5.0</v>
      </c>
    </row>
    <row r="5">
      <c r="A5" s="1" t="s">
        <v>52</v>
      </c>
      <c r="B5" s="16">
        <v>29.0</v>
      </c>
    </row>
    <row r="6">
      <c r="A6" s="1" t="s">
        <v>56</v>
      </c>
      <c r="B6" s="16">
        <v>16.0</v>
      </c>
    </row>
    <row r="7">
      <c r="A7" s="1" t="s">
        <v>60</v>
      </c>
      <c r="B7" s="16">
        <v>4.0</v>
      </c>
    </row>
    <row r="8">
      <c r="A8" s="1" t="s">
        <v>64</v>
      </c>
      <c r="B8" s="16">
        <v>15.0</v>
      </c>
    </row>
    <row r="9">
      <c r="A9" s="1" t="s">
        <v>68</v>
      </c>
      <c r="B9" s="16">
        <v>18.0</v>
      </c>
    </row>
    <row r="10">
      <c r="A10" s="1" t="s">
        <v>72</v>
      </c>
      <c r="B10" s="16">
        <v>17.0</v>
      </c>
    </row>
    <row r="11">
      <c r="A11" s="1" t="s">
        <v>76</v>
      </c>
      <c r="B11" s="16">
        <v>59.0</v>
      </c>
    </row>
    <row r="12">
      <c r="A12" s="1" t="s">
        <v>80</v>
      </c>
      <c r="B12" s="16">
        <v>10.0</v>
      </c>
    </row>
    <row r="13">
      <c r="A13" s="1" t="s">
        <v>84</v>
      </c>
      <c r="B13" s="16">
        <v>1.0</v>
      </c>
    </row>
    <row r="14">
      <c r="A14" s="1" t="s">
        <v>88</v>
      </c>
      <c r="B14" s="16">
        <v>2.0</v>
      </c>
    </row>
    <row r="15">
      <c r="A15" s="1" t="s">
        <v>92</v>
      </c>
      <c r="B15" s="16">
        <v>13.0</v>
      </c>
    </row>
    <row r="16">
      <c r="A16" s="1" t="s">
        <v>96</v>
      </c>
      <c r="B16" s="16">
        <v>18.0</v>
      </c>
    </row>
    <row r="17">
      <c r="A17" s="1" t="s">
        <v>100</v>
      </c>
      <c r="B17" s="16">
        <v>32.0</v>
      </c>
    </row>
    <row r="18">
      <c r="A18" s="1" t="s">
        <v>104</v>
      </c>
      <c r="B18" s="16">
        <v>14.0</v>
      </c>
    </row>
    <row r="19">
      <c r="A19" s="1" t="s">
        <v>108</v>
      </c>
      <c r="B19" s="16">
        <v>17.0</v>
      </c>
    </row>
    <row r="20">
      <c r="A20" s="1" t="s">
        <v>112</v>
      </c>
      <c r="B20" s="16">
        <v>1.0</v>
      </c>
    </row>
    <row r="21">
      <c r="A21" s="1" t="s">
        <v>116</v>
      </c>
      <c r="B21" s="16">
        <v>30.0</v>
      </c>
    </row>
    <row r="22">
      <c r="A22" s="1" t="s">
        <v>120</v>
      </c>
      <c r="B22" s="16">
        <v>17.0</v>
      </c>
    </row>
    <row r="23">
      <c r="A23" s="1" t="s">
        <v>124</v>
      </c>
      <c r="B23" s="16">
        <v>11.0</v>
      </c>
    </row>
    <row r="24">
      <c r="A24" s="1" t="s">
        <v>128</v>
      </c>
      <c r="B24" s="16">
        <v>26.0</v>
      </c>
    </row>
    <row r="25">
      <c r="A25" s="1" t="s">
        <v>132</v>
      </c>
      <c r="B25" s="16">
        <v>9.0</v>
      </c>
    </row>
    <row r="26">
      <c r="A26" s="1" t="s">
        <v>136</v>
      </c>
      <c r="B26" s="16">
        <v>5.0</v>
      </c>
    </row>
    <row r="27">
      <c r="A27" s="1" t="s">
        <v>140</v>
      </c>
      <c r="B27" s="16">
        <v>1.0</v>
      </c>
    </row>
    <row r="28">
      <c r="A28" s="1" t="s">
        <v>144</v>
      </c>
      <c r="B28" s="16">
        <v>5.0</v>
      </c>
    </row>
    <row r="29">
      <c r="A29" s="1" t="s">
        <v>148</v>
      </c>
      <c r="B29" s="16">
        <v>5.0</v>
      </c>
    </row>
    <row r="30">
      <c r="A30" s="1" t="s">
        <v>152</v>
      </c>
      <c r="B30" s="16">
        <v>30.0</v>
      </c>
    </row>
    <row r="31">
      <c r="A31" s="1" t="s">
        <v>156</v>
      </c>
      <c r="B31" s="16">
        <v>6.0</v>
      </c>
    </row>
    <row r="32">
      <c r="A32" s="1" t="s">
        <v>160</v>
      </c>
      <c r="B32" s="16">
        <v>6.0</v>
      </c>
    </row>
    <row r="33">
      <c r="A33" s="1" t="s">
        <v>164</v>
      </c>
      <c r="B33" s="16">
        <v>2.0</v>
      </c>
    </row>
    <row r="34">
      <c r="A34" s="1" t="s">
        <v>168</v>
      </c>
      <c r="B34" s="16">
        <v>6.0</v>
      </c>
    </row>
    <row r="35">
      <c r="A35" s="1" t="s">
        <v>172</v>
      </c>
      <c r="B35" s="16">
        <v>15.0</v>
      </c>
    </row>
    <row r="36">
      <c r="A36" s="1" t="s">
        <v>176</v>
      </c>
      <c r="B36" s="16">
        <v>7.0</v>
      </c>
    </row>
    <row r="37">
      <c r="A37" s="1" t="s">
        <v>180</v>
      </c>
      <c r="B37" s="16">
        <v>29.0</v>
      </c>
    </row>
    <row r="38">
      <c r="A38" s="1" t="s">
        <v>184</v>
      </c>
      <c r="B38" s="16">
        <v>27.0</v>
      </c>
    </row>
    <row r="39">
      <c r="A39" s="1" t="s">
        <v>188</v>
      </c>
      <c r="B39" s="16">
        <v>1.0</v>
      </c>
    </row>
    <row r="40">
      <c r="A40" s="1" t="s">
        <v>192</v>
      </c>
      <c r="B40" s="16">
        <v>1.0</v>
      </c>
    </row>
    <row r="41">
      <c r="A41" s="1" t="s">
        <v>196</v>
      </c>
      <c r="B41" s="16">
        <v>20.0</v>
      </c>
    </row>
    <row r="42">
      <c r="A42" s="1" t="s">
        <v>200</v>
      </c>
      <c r="B42" s="16">
        <v>1.0</v>
      </c>
    </row>
    <row r="43">
      <c r="A43" s="1" t="s">
        <v>204</v>
      </c>
      <c r="B43" s="16">
        <v>60.0</v>
      </c>
    </row>
    <row r="44">
      <c r="A44" s="1" t="s">
        <v>208</v>
      </c>
      <c r="B44" s="16">
        <v>4.0</v>
      </c>
    </row>
    <row r="45">
      <c r="A45" s="1" t="s">
        <v>212</v>
      </c>
      <c r="B45" s="16">
        <v>2.0</v>
      </c>
    </row>
    <row r="46">
      <c r="A46" s="1" t="s">
        <v>216</v>
      </c>
      <c r="B46" s="16">
        <v>23.0</v>
      </c>
    </row>
    <row r="47">
      <c r="A47" s="1" t="s">
        <v>220</v>
      </c>
      <c r="B47" s="16">
        <v>25.0</v>
      </c>
    </row>
    <row r="48">
      <c r="A48" s="1" t="s">
        <v>224</v>
      </c>
      <c r="B48" s="16">
        <v>23.0</v>
      </c>
    </row>
    <row r="49">
      <c r="A49" s="1" t="s">
        <v>228</v>
      </c>
      <c r="B49" s="16">
        <v>21.0</v>
      </c>
    </row>
    <row r="50">
      <c r="A50" s="1" t="s">
        <v>232</v>
      </c>
      <c r="B50" s="16">
        <v>2.0</v>
      </c>
    </row>
    <row r="51">
      <c r="A51" s="1" t="s">
        <v>236</v>
      </c>
      <c r="B51" s="16">
        <v>4.0</v>
      </c>
    </row>
    <row r="52">
      <c r="A52" s="1" t="s">
        <v>240</v>
      </c>
      <c r="B52" s="16">
        <v>12.0</v>
      </c>
    </row>
    <row r="53">
      <c r="A53" s="1" t="s">
        <v>244</v>
      </c>
      <c r="B53" s="16">
        <v>11.0</v>
      </c>
    </row>
    <row r="54">
      <c r="A54" s="1" t="s">
        <v>248</v>
      </c>
      <c r="B54" s="16">
        <v>6.0</v>
      </c>
    </row>
    <row r="55">
      <c r="A55" s="1" t="s">
        <v>252</v>
      </c>
      <c r="B55" s="16">
        <v>7.0</v>
      </c>
    </row>
    <row r="56">
      <c r="A56" s="1" t="s">
        <v>256</v>
      </c>
      <c r="B56" s="16">
        <v>24.0</v>
      </c>
    </row>
    <row r="57">
      <c r="A57" s="1" t="s">
        <v>260</v>
      </c>
      <c r="B57" s="16">
        <v>1.0</v>
      </c>
    </row>
    <row r="58">
      <c r="A58" s="1" t="s">
        <v>264</v>
      </c>
      <c r="B58" s="16">
        <v>9.0</v>
      </c>
    </row>
    <row r="59">
      <c r="A59" s="1" t="s">
        <v>268</v>
      </c>
      <c r="B59" s="16">
        <v>9.0</v>
      </c>
    </row>
    <row r="60">
      <c r="A60" s="1" t="s">
        <v>272</v>
      </c>
      <c r="B60" s="16">
        <v>13.0</v>
      </c>
    </row>
    <row r="61">
      <c r="A61" s="1" t="s">
        <v>276</v>
      </c>
      <c r="B61" s="16">
        <v>9.0</v>
      </c>
    </row>
    <row r="62">
      <c r="A62" s="1" t="s">
        <v>280</v>
      </c>
      <c r="B62" s="16">
        <v>11.0</v>
      </c>
    </row>
    <row r="63">
      <c r="A63" s="1" t="s">
        <v>284</v>
      </c>
      <c r="B63" s="16">
        <v>16.0</v>
      </c>
    </row>
    <row r="64">
      <c r="A64" s="1" t="s">
        <v>288</v>
      </c>
      <c r="B64" s="16">
        <v>14.0</v>
      </c>
    </row>
    <row r="65">
      <c r="A65" s="1" t="s">
        <v>292</v>
      </c>
      <c r="B65" s="16">
        <v>22.0</v>
      </c>
    </row>
    <row r="66">
      <c r="A66" s="1" t="s">
        <v>296</v>
      </c>
      <c r="B66" s="16">
        <v>1.0</v>
      </c>
    </row>
    <row r="67">
      <c r="A67" s="1" t="s">
        <v>300</v>
      </c>
      <c r="B67" s="16">
        <v>2.0</v>
      </c>
    </row>
    <row r="68">
      <c r="A68" s="1" t="s">
        <v>304</v>
      </c>
      <c r="B68" s="16">
        <v>10.0</v>
      </c>
    </row>
    <row r="69">
      <c r="A69" s="1" t="s">
        <v>308</v>
      </c>
      <c r="B69" s="16">
        <v>11.0</v>
      </c>
    </row>
    <row r="70">
      <c r="A70" s="1" t="s">
        <v>312</v>
      </c>
      <c r="B70" s="16">
        <v>8.0</v>
      </c>
    </row>
    <row r="71">
      <c r="A71" s="1" t="s">
        <v>316</v>
      </c>
      <c r="B71" s="16">
        <v>14.0</v>
      </c>
    </row>
    <row r="72">
      <c r="A72" s="1" t="s">
        <v>320</v>
      </c>
      <c r="B72" s="16">
        <v>4.0</v>
      </c>
    </row>
    <row r="73">
      <c r="A73" s="1" t="s">
        <v>324</v>
      </c>
      <c r="B73" s="16">
        <v>10.0</v>
      </c>
    </row>
    <row r="74">
      <c r="A74" s="1" t="s">
        <v>328</v>
      </c>
      <c r="B74" s="16">
        <v>18.0</v>
      </c>
    </row>
    <row r="75">
      <c r="A75" s="1" t="s">
        <v>332</v>
      </c>
      <c r="B75" s="16">
        <v>31.0</v>
      </c>
    </row>
    <row r="76">
      <c r="A76" s="1" t="s">
        <v>336</v>
      </c>
      <c r="B76" s="16">
        <v>6.0</v>
      </c>
    </row>
    <row r="77">
      <c r="A77" s="1" t="s">
        <v>340</v>
      </c>
      <c r="B77" s="16">
        <v>20.0</v>
      </c>
    </row>
    <row r="78">
      <c r="A78" s="1" t="s">
        <v>344</v>
      </c>
      <c r="B78" s="16">
        <v>7.0</v>
      </c>
    </row>
    <row r="79">
      <c r="A79" s="1" t="s">
        <v>348</v>
      </c>
      <c r="B79" s="16">
        <v>6.0</v>
      </c>
    </row>
    <row r="80">
      <c r="A80" s="1" t="s">
        <v>352</v>
      </c>
      <c r="B80" s="16">
        <v>23.0</v>
      </c>
    </row>
    <row r="81">
      <c r="A81" s="1" t="s">
        <v>356</v>
      </c>
      <c r="B81" s="16">
        <v>3.0</v>
      </c>
    </row>
    <row r="82">
      <c r="A82" s="1" t="s">
        <v>360</v>
      </c>
      <c r="B82" s="16">
        <v>13.0</v>
      </c>
    </row>
    <row r="83">
      <c r="A83" s="1" t="s">
        <v>364</v>
      </c>
      <c r="B83" s="16">
        <v>4.0</v>
      </c>
    </row>
    <row r="84">
      <c r="A84" s="1" t="s">
        <v>368</v>
      </c>
      <c r="B84" s="16">
        <v>7.0</v>
      </c>
    </row>
    <row r="85">
      <c r="A85" s="1" t="s">
        <v>372</v>
      </c>
      <c r="B85" s="16">
        <v>5.0</v>
      </c>
    </row>
    <row r="86">
      <c r="A86" s="1" t="s">
        <v>376</v>
      </c>
      <c r="B86" s="16">
        <v>23.0</v>
      </c>
    </row>
    <row r="87">
      <c r="A87" s="1" t="s">
        <v>380</v>
      </c>
      <c r="B87" s="16">
        <v>7.0</v>
      </c>
    </row>
    <row r="88">
      <c r="A88" s="1" t="s">
        <v>384</v>
      </c>
      <c r="B88" s="16">
        <v>2.0</v>
      </c>
    </row>
    <row r="89">
      <c r="A89" s="1" t="s">
        <v>388</v>
      </c>
      <c r="B89" s="16">
        <v>4.0</v>
      </c>
    </row>
    <row r="90">
      <c r="A90" s="1" t="s">
        <v>392</v>
      </c>
      <c r="B90" s="16">
        <v>11.0</v>
      </c>
    </row>
    <row r="91">
      <c r="A91" s="1" t="s">
        <v>396</v>
      </c>
      <c r="B91" s="16">
        <v>12.0</v>
      </c>
    </row>
    <row r="92">
      <c r="A92" s="1" t="s">
        <v>400</v>
      </c>
      <c r="B92" s="16">
        <v>21.0</v>
      </c>
    </row>
    <row r="93">
      <c r="A93" s="1" t="s">
        <v>404</v>
      </c>
      <c r="B93" s="16">
        <v>4.0</v>
      </c>
    </row>
    <row r="94">
      <c r="A94" s="1" t="s">
        <v>408</v>
      </c>
      <c r="B94" s="16">
        <v>3.0</v>
      </c>
    </row>
    <row r="95">
      <c r="A95" s="1" t="s">
        <v>412</v>
      </c>
      <c r="B95" s="16">
        <v>4.0</v>
      </c>
    </row>
    <row r="96">
      <c r="A96" s="1" t="s">
        <v>416</v>
      </c>
      <c r="B96" s="16">
        <v>7.0</v>
      </c>
    </row>
    <row r="97">
      <c r="A97" s="1" t="s">
        <v>420</v>
      </c>
      <c r="B97" s="16">
        <v>9.0</v>
      </c>
    </row>
    <row r="98">
      <c r="A98" s="1" t="s">
        <v>424</v>
      </c>
      <c r="B98" s="16">
        <v>6.0</v>
      </c>
    </row>
    <row r="99">
      <c r="A99" s="1" t="s">
        <v>428</v>
      </c>
      <c r="B99" s="16">
        <v>10.0</v>
      </c>
    </row>
    <row r="100">
      <c r="A100" s="1" t="s">
        <v>432</v>
      </c>
      <c r="B100" s="16">
        <v>10.0</v>
      </c>
    </row>
    <row r="101">
      <c r="A101" s="1" t="s">
        <v>436</v>
      </c>
      <c r="B101" s="16">
        <v>2.0</v>
      </c>
    </row>
    <row r="102">
      <c r="A102" s="1" t="s">
        <v>440</v>
      </c>
      <c r="B102" s="16">
        <v>30.0</v>
      </c>
    </row>
    <row r="103">
      <c r="A103" s="1" t="s">
        <v>444</v>
      </c>
      <c r="B103" s="16">
        <v>18.0</v>
      </c>
    </row>
    <row r="104">
      <c r="A104" s="1" t="s">
        <v>448</v>
      </c>
      <c r="B104" s="16">
        <v>14.0</v>
      </c>
    </row>
    <row r="105">
      <c r="A105" s="1" t="s">
        <v>452</v>
      </c>
      <c r="B105" s="16">
        <v>16.0</v>
      </c>
    </row>
    <row r="106">
      <c r="A106" s="1" t="s">
        <v>456</v>
      </c>
      <c r="B106" s="16">
        <v>36.0</v>
      </c>
    </row>
    <row r="107">
      <c r="A107" s="1" t="s">
        <v>460</v>
      </c>
      <c r="B107" s="16">
        <v>5.0</v>
      </c>
    </row>
    <row r="108">
      <c r="A108" s="1" t="s">
        <v>464</v>
      </c>
      <c r="B108" s="16">
        <v>5.0</v>
      </c>
    </row>
    <row r="109">
      <c r="A109" s="1" t="s">
        <v>468</v>
      </c>
      <c r="B109" s="16">
        <v>18.0</v>
      </c>
    </row>
    <row r="110">
      <c r="A110" s="1" t="s">
        <v>472</v>
      </c>
      <c r="B110" s="16">
        <v>22.0</v>
      </c>
    </row>
    <row r="111">
      <c r="A111" s="1" t="s">
        <v>476</v>
      </c>
      <c r="B111" s="16">
        <v>24.0</v>
      </c>
    </row>
    <row r="112">
      <c r="A112" s="1" t="s">
        <v>480</v>
      </c>
      <c r="B112" s="16">
        <v>12.0</v>
      </c>
    </row>
    <row r="113">
      <c r="A113" s="1" t="s">
        <v>484</v>
      </c>
      <c r="B113" s="16">
        <v>14.0</v>
      </c>
    </row>
    <row r="114">
      <c r="A114" s="1" t="s">
        <v>488</v>
      </c>
      <c r="B114" s="16">
        <v>31.0</v>
      </c>
    </row>
    <row r="115">
      <c r="A115" s="1" t="s">
        <v>492</v>
      </c>
      <c r="B115" s="16">
        <v>9.0</v>
      </c>
    </row>
    <row r="116">
      <c r="A116" s="1" t="s">
        <v>496</v>
      </c>
      <c r="B116" s="16">
        <v>12.0</v>
      </c>
    </row>
    <row r="117">
      <c r="A117" s="1" t="s">
        <v>500</v>
      </c>
      <c r="B117" s="16">
        <v>2.0</v>
      </c>
    </row>
    <row r="118">
      <c r="A118" s="1" t="s">
        <v>504</v>
      </c>
      <c r="B118" s="16">
        <v>4.0</v>
      </c>
    </row>
    <row r="119">
      <c r="A119" s="1" t="s">
        <v>508</v>
      </c>
      <c r="B119" s="16">
        <v>3.0</v>
      </c>
    </row>
    <row r="120">
      <c r="A120" s="1" t="s">
        <v>512</v>
      </c>
      <c r="B120" s="16">
        <v>19.0</v>
      </c>
    </row>
    <row r="121">
      <c r="A121" s="1" t="s">
        <v>516</v>
      </c>
      <c r="B121" s="16">
        <v>6.0</v>
      </c>
    </row>
    <row r="122">
      <c r="A122" s="1" t="s">
        <v>520</v>
      </c>
      <c r="B122" s="16">
        <v>33.0</v>
      </c>
    </row>
    <row r="123">
      <c r="A123" s="1" t="s">
        <v>524</v>
      </c>
      <c r="B123" s="16">
        <v>4.0</v>
      </c>
    </row>
    <row r="124">
      <c r="A124" s="1" t="s">
        <v>528</v>
      </c>
      <c r="B124" s="16">
        <v>1.0</v>
      </c>
    </row>
    <row r="125">
      <c r="A125" s="1" t="s">
        <v>532</v>
      </c>
      <c r="B125" s="16">
        <v>14.0</v>
      </c>
    </row>
    <row r="126">
      <c r="A126" s="1" t="s">
        <v>536</v>
      </c>
      <c r="B126" s="16">
        <v>15.0</v>
      </c>
    </row>
    <row r="127">
      <c r="A127" s="1" t="s">
        <v>540</v>
      </c>
      <c r="B127" s="16">
        <v>29.0</v>
      </c>
    </row>
    <row r="128">
      <c r="A128" s="1" t="s">
        <v>544</v>
      </c>
      <c r="B128" s="16">
        <v>23.0</v>
      </c>
    </row>
    <row r="129">
      <c r="A129" s="1" t="s">
        <v>548</v>
      </c>
      <c r="B129" s="16">
        <v>17.0</v>
      </c>
    </row>
    <row r="130">
      <c r="A130" s="1" t="s">
        <v>552</v>
      </c>
      <c r="B130" s="16">
        <v>13.0</v>
      </c>
    </row>
    <row r="131">
      <c r="A131" s="1" t="s">
        <v>556</v>
      </c>
      <c r="B131" s="16">
        <v>11.0</v>
      </c>
    </row>
    <row r="132">
      <c r="A132" s="1" t="s">
        <v>560</v>
      </c>
      <c r="B132" s="16">
        <v>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942</v>
      </c>
    </row>
    <row r="2">
      <c r="A2" s="1" t="s">
        <v>40</v>
      </c>
      <c r="B2" s="16">
        <v>1.0</v>
      </c>
    </row>
    <row r="3">
      <c r="A3" s="1" t="s">
        <v>44</v>
      </c>
      <c r="B3" s="16">
        <v>1.0</v>
      </c>
    </row>
    <row r="4">
      <c r="A4" s="1" t="s">
        <v>48</v>
      </c>
      <c r="B4" s="16">
        <v>1.0</v>
      </c>
    </row>
    <row r="5">
      <c r="A5" s="1" t="s">
        <v>52</v>
      </c>
      <c r="B5" s="16">
        <v>4.0</v>
      </c>
    </row>
    <row r="6">
      <c r="A6" s="1" t="s">
        <v>56</v>
      </c>
      <c r="B6" s="16">
        <v>1.0</v>
      </c>
    </row>
    <row r="7">
      <c r="A7" s="1" t="s">
        <v>60</v>
      </c>
      <c r="B7" s="16">
        <v>2.0</v>
      </c>
    </row>
    <row r="8">
      <c r="A8" s="1" t="s">
        <v>64</v>
      </c>
      <c r="B8" s="16">
        <v>1.0</v>
      </c>
    </row>
    <row r="9">
      <c r="A9" s="1" t="s">
        <v>68</v>
      </c>
      <c r="B9" s="16">
        <v>1.0</v>
      </c>
    </row>
    <row r="10">
      <c r="A10" s="1" t="s">
        <v>72</v>
      </c>
      <c r="B10" s="16">
        <v>2.0</v>
      </c>
    </row>
    <row r="11">
      <c r="A11" s="1" t="s">
        <v>76</v>
      </c>
      <c r="B11" s="16">
        <v>2.0</v>
      </c>
    </row>
    <row r="12">
      <c r="A12" s="1" t="s">
        <v>80</v>
      </c>
      <c r="B12" s="16">
        <v>1.0</v>
      </c>
    </row>
    <row r="13">
      <c r="A13" s="1" t="s">
        <v>84</v>
      </c>
      <c r="B13" s="16">
        <v>1.0</v>
      </c>
    </row>
    <row r="14">
      <c r="A14" s="1" t="s">
        <v>88</v>
      </c>
      <c r="B14" s="16">
        <v>1.0</v>
      </c>
    </row>
    <row r="15">
      <c r="A15" s="1" t="s">
        <v>92</v>
      </c>
      <c r="B15" s="16">
        <v>5.0</v>
      </c>
    </row>
    <row r="16">
      <c r="A16" s="1" t="s">
        <v>96</v>
      </c>
      <c r="B16" s="16">
        <v>3.0</v>
      </c>
    </row>
    <row r="17">
      <c r="A17" s="1" t="s">
        <v>100</v>
      </c>
      <c r="B17" s="16">
        <v>2.0</v>
      </c>
    </row>
    <row r="18">
      <c r="A18" s="1" t="s">
        <v>104</v>
      </c>
      <c r="B18" s="16">
        <v>3.0</v>
      </c>
    </row>
    <row r="19">
      <c r="A19" s="1" t="s">
        <v>108</v>
      </c>
      <c r="B19" s="16">
        <v>1.0</v>
      </c>
    </row>
    <row r="20">
      <c r="A20" s="1" t="s">
        <v>112</v>
      </c>
      <c r="B20" s="16">
        <v>1.0</v>
      </c>
    </row>
    <row r="21">
      <c r="A21" s="1" t="s">
        <v>116</v>
      </c>
      <c r="B21" s="16">
        <v>2.0</v>
      </c>
    </row>
    <row r="22">
      <c r="A22" s="1" t="s">
        <v>120</v>
      </c>
      <c r="B22" s="16">
        <v>3.0</v>
      </c>
    </row>
    <row r="23">
      <c r="A23" s="1" t="s">
        <v>124</v>
      </c>
      <c r="B23" s="16">
        <v>2.0</v>
      </c>
    </row>
    <row r="24">
      <c r="A24" s="1" t="s">
        <v>128</v>
      </c>
      <c r="B24" s="16">
        <v>3.0</v>
      </c>
    </row>
    <row r="25">
      <c r="A25" s="1" t="s">
        <v>132</v>
      </c>
      <c r="B25" s="16">
        <v>2.0</v>
      </c>
    </row>
    <row r="26">
      <c r="A26" s="1" t="s">
        <v>136</v>
      </c>
      <c r="B26" s="16">
        <v>2.0</v>
      </c>
    </row>
    <row r="27">
      <c r="A27" s="1" t="s">
        <v>140</v>
      </c>
      <c r="B27" s="16">
        <v>1.0</v>
      </c>
    </row>
    <row r="28">
      <c r="A28" s="1" t="s">
        <v>144</v>
      </c>
      <c r="B28" s="16">
        <v>2.0</v>
      </c>
    </row>
    <row r="29">
      <c r="A29" s="1" t="s">
        <v>148</v>
      </c>
      <c r="B29" s="16">
        <v>1.0</v>
      </c>
    </row>
    <row r="30">
      <c r="A30" s="1" t="s">
        <v>152</v>
      </c>
      <c r="B30" s="16">
        <v>2.0</v>
      </c>
    </row>
    <row r="31">
      <c r="A31" s="1" t="s">
        <v>156</v>
      </c>
      <c r="B31" s="16">
        <v>1.0</v>
      </c>
    </row>
    <row r="32">
      <c r="A32" s="1" t="s">
        <v>160</v>
      </c>
      <c r="B32" s="16">
        <v>1.0</v>
      </c>
    </row>
    <row r="33">
      <c r="A33" s="1" t="s">
        <v>164</v>
      </c>
      <c r="B33" s="16">
        <v>1.0</v>
      </c>
    </row>
    <row r="34">
      <c r="A34" s="1" t="s">
        <v>168</v>
      </c>
      <c r="B34" s="16">
        <v>1.0</v>
      </c>
    </row>
    <row r="35">
      <c r="A35" s="1" t="s">
        <v>172</v>
      </c>
      <c r="B35" s="16">
        <v>2.0</v>
      </c>
    </row>
    <row r="36">
      <c r="A36" s="1" t="s">
        <v>176</v>
      </c>
      <c r="B36" s="16">
        <v>3.0</v>
      </c>
    </row>
    <row r="37">
      <c r="A37" s="1" t="s">
        <v>180</v>
      </c>
      <c r="B37" s="16">
        <v>2.0</v>
      </c>
    </row>
    <row r="38">
      <c r="A38" s="1" t="s">
        <v>184</v>
      </c>
      <c r="B38" s="16">
        <v>2.0</v>
      </c>
    </row>
    <row r="39">
      <c r="A39" s="1" t="s">
        <v>188</v>
      </c>
      <c r="B39" s="16">
        <v>1.0</v>
      </c>
    </row>
    <row r="40">
      <c r="A40" s="1" t="s">
        <v>192</v>
      </c>
      <c r="B40" s="16">
        <v>1.0</v>
      </c>
    </row>
    <row r="41">
      <c r="A41" s="1" t="s">
        <v>196</v>
      </c>
      <c r="B41" s="16">
        <v>1.0</v>
      </c>
    </row>
    <row r="42">
      <c r="A42" s="1" t="s">
        <v>200</v>
      </c>
      <c r="B42" s="16">
        <v>1.0</v>
      </c>
    </row>
    <row r="43">
      <c r="A43" s="1" t="s">
        <v>204</v>
      </c>
      <c r="B43" s="16">
        <v>2.0</v>
      </c>
    </row>
    <row r="44">
      <c r="A44" s="1" t="s">
        <v>208</v>
      </c>
      <c r="B44" s="16">
        <v>1.0</v>
      </c>
    </row>
    <row r="45">
      <c r="A45" s="1" t="s">
        <v>212</v>
      </c>
      <c r="B45" s="16">
        <v>1.0</v>
      </c>
    </row>
    <row r="46">
      <c r="A46" s="1" t="s">
        <v>216</v>
      </c>
      <c r="B46" s="16">
        <v>4.0</v>
      </c>
    </row>
    <row r="47">
      <c r="A47" s="1" t="s">
        <v>220</v>
      </c>
      <c r="B47" s="16">
        <v>3.0</v>
      </c>
    </row>
    <row r="48">
      <c r="A48" s="1" t="s">
        <v>224</v>
      </c>
      <c r="B48" s="16">
        <v>3.0</v>
      </c>
    </row>
    <row r="49">
      <c r="A49" s="1" t="s">
        <v>228</v>
      </c>
      <c r="B49" s="16">
        <v>3.0</v>
      </c>
    </row>
    <row r="50">
      <c r="A50" s="1" t="s">
        <v>232</v>
      </c>
      <c r="B50" s="16">
        <v>1.0</v>
      </c>
    </row>
    <row r="51">
      <c r="A51" s="1" t="s">
        <v>236</v>
      </c>
      <c r="B51" s="16">
        <v>3.0</v>
      </c>
    </row>
    <row r="52">
      <c r="A52" s="1" t="s">
        <v>240</v>
      </c>
      <c r="B52" s="16">
        <v>2.0</v>
      </c>
    </row>
    <row r="53">
      <c r="A53" s="1" t="s">
        <v>244</v>
      </c>
      <c r="B53" s="16">
        <v>2.0</v>
      </c>
    </row>
    <row r="54">
      <c r="A54" s="1" t="s">
        <v>248</v>
      </c>
      <c r="B54" s="16">
        <v>2.0</v>
      </c>
    </row>
    <row r="55">
      <c r="A55" s="1" t="s">
        <v>252</v>
      </c>
      <c r="B55" s="16">
        <v>1.0</v>
      </c>
    </row>
    <row r="56">
      <c r="A56" s="1" t="s">
        <v>256</v>
      </c>
      <c r="B56" s="16">
        <v>3.0</v>
      </c>
    </row>
    <row r="57">
      <c r="A57" s="1" t="s">
        <v>260</v>
      </c>
      <c r="B57" s="16">
        <v>1.0</v>
      </c>
    </row>
    <row r="58">
      <c r="A58" s="1" t="s">
        <v>264</v>
      </c>
      <c r="B58" s="16">
        <v>1.0</v>
      </c>
    </row>
    <row r="59">
      <c r="A59" s="1" t="s">
        <v>268</v>
      </c>
      <c r="B59" s="16">
        <v>2.0</v>
      </c>
    </row>
    <row r="60">
      <c r="A60" s="1" t="s">
        <v>272</v>
      </c>
      <c r="B60" s="16">
        <v>2.0</v>
      </c>
    </row>
    <row r="61">
      <c r="A61" s="1" t="s">
        <v>276</v>
      </c>
      <c r="B61" s="16">
        <v>4.0</v>
      </c>
    </row>
    <row r="62">
      <c r="A62" s="1" t="s">
        <v>280</v>
      </c>
      <c r="B62" s="16">
        <v>2.0</v>
      </c>
    </row>
    <row r="63">
      <c r="A63" s="1" t="s">
        <v>284</v>
      </c>
      <c r="B63" s="16">
        <v>3.0</v>
      </c>
    </row>
    <row r="64">
      <c r="A64" s="1" t="s">
        <v>288</v>
      </c>
      <c r="B64" s="16">
        <v>1.0</v>
      </c>
    </row>
    <row r="65">
      <c r="A65" s="1" t="s">
        <v>292</v>
      </c>
      <c r="B65" s="16">
        <v>3.0</v>
      </c>
    </row>
    <row r="66">
      <c r="A66" s="1" t="s">
        <v>296</v>
      </c>
      <c r="B66" s="16">
        <v>1.0</v>
      </c>
    </row>
    <row r="67">
      <c r="A67" s="1" t="s">
        <v>300</v>
      </c>
      <c r="B67" s="16">
        <v>1.0</v>
      </c>
    </row>
    <row r="68">
      <c r="A68" s="1" t="s">
        <v>304</v>
      </c>
      <c r="B68" s="16">
        <v>2.0</v>
      </c>
    </row>
    <row r="69">
      <c r="A69" s="1" t="s">
        <v>308</v>
      </c>
      <c r="B69" s="16">
        <v>3.0</v>
      </c>
    </row>
    <row r="70">
      <c r="A70" s="1" t="s">
        <v>312</v>
      </c>
      <c r="B70" s="16">
        <v>2.0</v>
      </c>
    </row>
    <row r="71">
      <c r="A71" s="1" t="s">
        <v>316</v>
      </c>
      <c r="B71" s="16">
        <v>1.0</v>
      </c>
    </row>
    <row r="72">
      <c r="A72" s="1" t="s">
        <v>320</v>
      </c>
      <c r="B72" s="16">
        <v>1.0</v>
      </c>
    </row>
    <row r="73">
      <c r="A73" s="1" t="s">
        <v>324</v>
      </c>
      <c r="B73" s="16">
        <v>3.0</v>
      </c>
    </row>
    <row r="74">
      <c r="A74" s="1" t="s">
        <v>328</v>
      </c>
      <c r="B74" s="16">
        <v>3.0</v>
      </c>
    </row>
    <row r="75">
      <c r="A75" s="1" t="s">
        <v>332</v>
      </c>
      <c r="B75" s="16">
        <v>1.0</v>
      </c>
    </row>
    <row r="76">
      <c r="A76" s="1" t="s">
        <v>336</v>
      </c>
      <c r="B76" s="16">
        <v>2.0</v>
      </c>
    </row>
    <row r="77">
      <c r="A77" s="1" t="s">
        <v>340</v>
      </c>
      <c r="B77" s="16">
        <v>4.0</v>
      </c>
    </row>
    <row r="78">
      <c r="A78" s="1" t="s">
        <v>344</v>
      </c>
      <c r="B78" s="16">
        <v>3.0</v>
      </c>
    </row>
    <row r="79">
      <c r="A79" s="1" t="s">
        <v>348</v>
      </c>
      <c r="B79" s="16">
        <v>1.0</v>
      </c>
    </row>
    <row r="80">
      <c r="A80" s="1" t="s">
        <v>352</v>
      </c>
      <c r="B80" s="16">
        <v>3.0</v>
      </c>
    </row>
    <row r="81">
      <c r="A81" s="1" t="s">
        <v>356</v>
      </c>
      <c r="B81" s="16">
        <v>2.0</v>
      </c>
    </row>
    <row r="82">
      <c r="A82" s="1" t="s">
        <v>360</v>
      </c>
      <c r="B82" s="16">
        <v>4.0</v>
      </c>
    </row>
    <row r="83">
      <c r="A83" s="1" t="s">
        <v>364</v>
      </c>
      <c r="B83" s="16">
        <v>2.0</v>
      </c>
    </row>
    <row r="84">
      <c r="A84" s="1" t="s">
        <v>368</v>
      </c>
      <c r="B84" s="16">
        <v>1.0</v>
      </c>
    </row>
    <row r="85">
      <c r="A85" s="1" t="s">
        <v>372</v>
      </c>
      <c r="B85" s="16">
        <v>1.0</v>
      </c>
    </row>
    <row r="86">
      <c r="A86" s="1" t="s">
        <v>376</v>
      </c>
      <c r="B86" s="16">
        <v>4.0</v>
      </c>
    </row>
    <row r="87">
      <c r="A87" s="1" t="s">
        <v>380</v>
      </c>
      <c r="B87" s="16">
        <v>3.0</v>
      </c>
    </row>
    <row r="88">
      <c r="A88" s="1" t="s">
        <v>384</v>
      </c>
      <c r="B88" s="16">
        <v>1.0</v>
      </c>
    </row>
    <row r="89">
      <c r="A89" s="1" t="s">
        <v>388</v>
      </c>
      <c r="B89" s="16">
        <v>2.0</v>
      </c>
    </row>
    <row r="90">
      <c r="A90" s="1" t="s">
        <v>392</v>
      </c>
      <c r="B90" s="16">
        <v>2.0</v>
      </c>
    </row>
    <row r="91">
      <c r="A91" s="1" t="s">
        <v>396</v>
      </c>
      <c r="B91" s="16">
        <v>4.0</v>
      </c>
    </row>
    <row r="92">
      <c r="A92" s="1" t="s">
        <v>400</v>
      </c>
      <c r="B92" s="16">
        <v>6.0</v>
      </c>
    </row>
    <row r="93">
      <c r="A93" s="1" t="s">
        <v>404</v>
      </c>
      <c r="B93" s="16">
        <v>1.0</v>
      </c>
    </row>
    <row r="94">
      <c r="A94" s="1" t="s">
        <v>408</v>
      </c>
      <c r="B94" s="16">
        <v>1.0</v>
      </c>
    </row>
    <row r="95">
      <c r="A95" s="1" t="s">
        <v>412</v>
      </c>
      <c r="B95" s="16">
        <v>1.0</v>
      </c>
    </row>
    <row r="96">
      <c r="A96" s="1" t="s">
        <v>416</v>
      </c>
      <c r="B96" s="16">
        <v>1.0</v>
      </c>
    </row>
    <row r="97">
      <c r="A97" s="1" t="s">
        <v>420</v>
      </c>
      <c r="B97" s="16">
        <v>1.0</v>
      </c>
    </row>
    <row r="98">
      <c r="A98" s="1" t="s">
        <v>424</v>
      </c>
      <c r="B98" s="16">
        <v>1.0</v>
      </c>
    </row>
    <row r="99">
      <c r="A99" s="1" t="s">
        <v>428</v>
      </c>
      <c r="B99" s="16">
        <v>3.0</v>
      </c>
    </row>
    <row r="100">
      <c r="A100" s="1" t="s">
        <v>432</v>
      </c>
      <c r="B100" s="16">
        <v>1.0</v>
      </c>
    </row>
    <row r="101">
      <c r="A101" s="1" t="s">
        <v>436</v>
      </c>
      <c r="B101" s="16">
        <v>1.0</v>
      </c>
    </row>
    <row r="102">
      <c r="A102" s="1" t="s">
        <v>440</v>
      </c>
      <c r="B102" s="16">
        <v>3.0</v>
      </c>
    </row>
    <row r="103">
      <c r="A103" s="1" t="s">
        <v>444</v>
      </c>
      <c r="B103" s="16">
        <v>2.0</v>
      </c>
    </row>
    <row r="104">
      <c r="A104" s="1" t="s">
        <v>448</v>
      </c>
      <c r="B104" s="16">
        <v>1.0</v>
      </c>
    </row>
    <row r="105">
      <c r="A105" s="1" t="s">
        <v>452</v>
      </c>
      <c r="B105" s="16">
        <v>4.0</v>
      </c>
    </row>
    <row r="106">
      <c r="A106" s="1" t="s">
        <v>456</v>
      </c>
      <c r="B106" s="16">
        <v>2.0</v>
      </c>
    </row>
    <row r="107">
      <c r="A107" s="1" t="s">
        <v>460</v>
      </c>
      <c r="B107" s="16">
        <v>1.0</v>
      </c>
    </row>
    <row r="108">
      <c r="A108" s="1" t="s">
        <v>464</v>
      </c>
      <c r="B108" s="16">
        <v>2.0</v>
      </c>
    </row>
    <row r="109">
      <c r="A109" s="1" t="s">
        <v>468</v>
      </c>
      <c r="B109" s="16">
        <v>3.0</v>
      </c>
    </row>
    <row r="110">
      <c r="A110" s="1" t="s">
        <v>472</v>
      </c>
      <c r="B110" s="16">
        <v>4.0</v>
      </c>
    </row>
    <row r="111">
      <c r="A111" s="1" t="s">
        <v>476</v>
      </c>
      <c r="B111" s="16">
        <v>3.0</v>
      </c>
    </row>
    <row r="112">
      <c r="A112" s="1" t="s">
        <v>480</v>
      </c>
      <c r="B112" s="16">
        <v>1.0</v>
      </c>
    </row>
    <row r="113">
      <c r="A113" s="1" t="s">
        <v>484</v>
      </c>
      <c r="B113" s="16">
        <v>2.0</v>
      </c>
    </row>
    <row r="114">
      <c r="A114" s="1" t="s">
        <v>488</v>
      </c>
      <c r="B114" s="16">
        <v>4.0</v>
      </c>
    </row>
    <row r="115">
      <c r="A115" s="1" t="s">
        <v>492</v>
      </c>
      <c r="B115" s="16">
        <v>3.0</v>
      </c>
    </row>
    <row r="116">
      <c r="A116" s="1" t="s">
        <v>496</v>
      </c>
      <c r="B116" s="16">
        <v>3.0</v>
      </c>
    </row>
    <row r="117">
      <c r="A117" s="1" t="s">
        <v>500</v>
      </c>
      <c r="B117" s="16">
        <v>1.0</v>
      </c>
    </row>
    <row r="118">
      <c r="A118" s="1" t="s">
        <v>504</v>
      </c>
      <c r="B118" s="16">
        <v>1.0</v>
      </c>
    </row>
    <row r="119">
      <c r="A119" s="1" t="s">
        <v>508</v>
      </c>
      <c r="B119" s="16">
        <v>1.0</v>
      </c>
    </row>
    <row r="120">
      <c r="A120" s="1" t="s">
        <v>512</v>
      </c>
      <c r="B120" s="16">
        <v>1.0</v>
      </c>
    </row>
    <row r="121">
      <c r="A121" s="1" t="s">
        <v>516</v>
      </c>
      <c r="B121" s="16">
        <v>1.0</v>
      </c>
    </row>
    <row r="122">
      <c r="A122" s="1" t="s">
        <v>520</v>
      </c>
      <c r="B122" s="16">
        <v>2.0</v>
      </c>
    </row>
    <row r="123">
      <c r="A123" s="1" t="s">
        <v>524</v>
      </c>
      <c r="B123" s="16">
        <v>2.0</v>
      </c>
    </row>
    <row r="124">
      <c r="A124" s="1" t="s">
        <v>528</v>
      </c>
      <c r="B124" s="16">
        <v>1.0</v>
      </c>
    </row>
    <row r="125">
      <c r="A125" s="1" t="s">
        <v>532</v>
      </c>
      <c r="B125" s="16">
        <v>2.0</v>
      </c>
    </row>
    <row r="126">
      <c r="A126" s="1" t="s">
        <v>536</v>
      </c>
      <c r="B126" s="16">
        <v>4.0</v>
      </c>
    </row>
    <row r="127">
      <c r="A127" s="1" t="s">
        <v>540</v>
      </c>
      <c r="B127" s="16">
        <v>1.0</v>
      </c>
    </row>
    <row r="128">
      <c r="A128" s="1" t="s">
        <v>544</v>
      </c>
      <c r="B128" s="16">
        <v>2.0</v>
      </c>
    </row>
    <row r="129">
      <c r="A129" s="1" t="s">
        <v>548</v>
      </c>
      <c r="B129" s="16">
        <v>2.0</v>
      </c>
    </row>
    <row r="130">
      <c r="A130" s="1" t="s">
        <v>552</v>
      </c>
      <c r="B130" s="16">
        <v>3.0</v>
      </c>
    </row>
    <row r="131">
      <c r="A131" s="1" t="s">
        <v>556</v>
      </c>
      <c r="B131" s="16">
        <v>2.0</v>
      </c>
    </row>
    <row r="132">
      <c r="A132" s="1" t="s">
        <v>560</v>
      </c>
      <c r="B132" s="16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943</v>
      </c>
    </row>
    <row r="2">
      <c r="A2" s="1" t="s">
        <v>40</v>
      </c>
      <c r="B2" s="1">
        <v>1.0</v>
      </c>
    </row>
    <row r="3">
      <c r="A3" s="1" t="s">
        <v>44</v>
      </c>
      <c r="B3" s="1">
        <v>0.0</v>
      </c>
    </row>
    <row r="4">
      <c r="A4" s="1" t="s">
        <v>48</v>
      </c>
      <c r="B4" s="1">
        <v>0.2</v>
      </c>
    </row>
    <row r="5">
      <c r="A5" s="1" t="s">
        <v>52</v>
      </c>
      <c r="B5" s="1">
        <v>0.896551724137931</v>
      </c>
    </row>
    <row r="6">
      <c r="A6" s="1" t="s">
        <v>56</v>
      </c>
      <c r="B6" s="1">
        <v>0.8125</v>
      </c>
    </row>
    <row r="7">
      <c r="A7" s="1" t="s">
        <v>60</v>
      </c>
      <c r="B7" s="1">
        <v>0.75</v>
      </c>
    </row>
    <row r="8">
      <c r="A8" s="1" t="s">
        <v>64</v>
      </c>
      <c r="B8" s="1">
        <v>0.866666666666666</v>
      </c>
    </row>
    <row r="9">
      <c r="A9" s="1" t="s">
        <v>68</v>
      </c>
      <c r="B9" s="1">
        <v>0.777777777777777</v>
      </c>
    </row>
    <row r="10">
      <c r="A10" s="1" t="s">
        <v>72</v>
      </c>
      <c r="B10" s="1">
        <v>0.352941176470588</v>
      </c>
    </row>
    <row r="11">
      <c r="A11" s="1" t="s">
        <v>76</v>
      </c>
      <c r="B11" s="1">
        <v>0.169491525423728</v>
      </c>
    </row>
    <row r="12">
      <c r="A12" s="1" t="s">
        <v>80</v>
      </c>
      <c r="B12" s="1">
        <v>0.6</v>
      </c>
    </row>
    <row r="13">
      <c r="A13" s="1" t="s">
        <v>84</v>
      </c>
      <c r="B13" s="1">
        <v>0.0</v>
      </c>
    </row>
    <row r="14">
      <c r="A14" s="1" t="s">
        <v>88</v>
      </c>
      <c r="B14" s="1">
        <v>1.0</v>
      </c>
    </row>
    <row r="15">
      <c r="A15" s="1" t="s">
        <v>92</v>
      </c>
      <c r="B15" s="1">
        <v>0.769230769230769</v>
      </c>
    </row>
    <row r="16">
      <c r="A16" s="1" t="s">
        <v>96</v>
      </c>
      <c r="B16" s="1">
        <v>0.555555555555555</v>
      </c>
    </row>
    <row r="17">
      <c r="A17" s="1" t="s">
        <v>100</v>
      </c>
      <c r="B17" s="1">
        <v>0.375</v>
      </c>
    </row>
    <row r="18">
      <c r="A18" s="1" t="s">
        <v>104</v>
      </c>
      <c r="B18" s="1">
        <v>0.857142857142857</v>
      </c>
    </row>
    <row r="19">
      <c r="A19" s="1" t="s">
        <v>108</v>
      </c>
      <c r="B19" s="1">
        <v>0.705882352941176</v>
      </c>
    </row>
    <row r="20">
      <c r="A20" s="1" t="s">
        <v>112</v>
      </c>
      <c r="B20" s="1">
        <v>1.0</v>
      </c>
    </row>
    <row r="21">
      <c r="A21" s="1" t="s">
        <v>116</v>
      </c>
      <c r="B21" s="1">
        <v>0.366666666666666</v>
      </c>
    </row>
    <row r="22">
      <c r="A22" s="1" t="s">
        <v>120</v>
      </c>
      <c r="B22" s="1">
        <v>0.941176470588235</v>
      </c>
    </row>
    <row r="23">
      <c r="A23" s="1" t="s">
        <v>124</v>
      </c>
      <c r="B23" s="1">
        <v>0.818181818181818</v>
      </c>
    </row>
    <row r="24">
      <c r="A24" s="1" t="s">
        <v>128</v>
      </c>
      <c r="B24" s="1">
        <v>0.576923076923076</v>
      </c>
    </row>
    <row r="25">
      <c r="A25" s="1" t="s">
        <v>132</v>
      </c>
      <c r="B25" s="1">
        <v>0.666666666666666</v>
      </c>
    </row>
    <row r="26">
      <c r="A26" s="1" t="s">
        <v>136</v>
      </c>
      <c r="B26" s="1">
        <v>0.4</v>
      </c>
    </row>
    <row r="27">
      <c r="A27" s="1" t="s">
        <v>140</v>
      </c>
      <c r="B27" s="1">
        <v>1.0</v>
      </c>
    </row>
    <row r="28">
      <c r="A28" s="1" t="s">
        <v>144</v>
      </c>
      <c r="B28" s="1">
        <v>1.0</v>
      </c>
    </row>
    <row r="29">
      <c r="A29" s="1" t="s">
        <v>148</v>
      </c>
      <c r="B29" s="1">
        <v>0.0</v>
      </c>
    </row>
    <row r="30">
      <c r="A30" s="1" t="s">
        <v>152</v>
      </c>
      <c r="B30" s="1">
        <v>0.633333333333333</v>
      </c>
    </row>
    <row r="31">
      <c r="A31" s="1" t="s">
        <v>156</v>
      </c>
      <c r="B31" s="1">
        <v>0.666666666666666</v>
      </c>
    </row>
    <row r="32">
      <c r="A32" s="1" t="s">
        <v>160</v>
      </c>
      <c r="B32" s="1">
        <v>0.666666666666666</v>
      </c>
    </row>
    <row r="33">
      <c r="A33" s="1" t="s">
        <v>164</v>
      </c>
      <c r="B33" s="1">
        <v>0.0</v>
      </c>
    </row>
    <row r="34">
      <c r="A34" s="1" t="s">
        <v>168</v>
      </c>
      <c r="B34" s="1">
        <v>0.666666666666666</v>
      </c>
    </row>
    <row r="35">
      <c r="A35" s="1" t="s">
        <v>172</v>
      </c>
      <c r="B35" s="1">
        <v>0.266666666666666</v>
      </c>
    </row>
    <row r="36">
      <c r="A36" s="1" t="s">
        <v>176</v>
      </c>
      <c r="B36" s="1">
        <v>0.571428571428571</v>
      </c>
    </row>
    <row r="37">
      <c r="A37" s="1" t="s">
        <v>180</v>
      </c>
      <c r="B37" s="1">
        <v>0.310344827586206</v>
      </c>
    </row>
    <row r="38">
      <c r="A38" s="1" t="s">
        <v>184</v>
      </c>
      <c r="B38" s="1">
        <v>0.407407407407407</v>
      </c>
    </row>
    <row r="39">
      <c r="A39" s="1" t="s">
        <v>188</v>
      </c>
      <c r="B39" s="1">
        <v>0.0</v>
      </c>
    </row>
    <row r="40">
      <c r="A40" s="1" t="s">
        <v>192</v>
      </c>
      <c r="B40" s="1">
        <v>1.0</v>
      </c>
    </row>
    <row r="41">
      <c r="A41" s="1" t="s">
        <v>196</v>
      </c>
      <c r="B41" s="1">
        <v>0.15</v>
      </c>
    </row>
    <row r="42">
      <c r="A42" s="1" t="s">
        <v>200</v>
      </c>
      <c r="B42" s="1">
        <v>0.0</v>
      </c>
    </row>
    <row r="43">
      <c r="A43" s="1" t="s">
        <v>204</v>
      </c>
      <c r="B43" s="1">
        <v>0.433333333333333</v>
      </c>
    </row>
    <row r="44">
      <c r="A44" s="1" t="s">
        <v>208</v>
      </c>
      <c r="B44" s="1">
        <v>0.0</v>
      </c>
    </row>
    <row r="45">
      <c r="A45" s="1" t="s">
        <v>212</v>
      </c>
      <c r="B45" s="1">
        <v>0.5</v>
      </c>
    </row>
    <row r="46">
      <c r="A46" s="1" t="s">
        <v>216</v>
      </c>
      <c r="B46" s="1">
        <v>0.565217391304347</v>
      </c>
    </row>
    <row r="47">
      <c r="A47" s="1" t="s">
        <v>220</v>
      </c>
      <c r="B47" s="1">
        <v>0.52</v>
      </c>
    </row>
    <row r="48">
      <c r="A48" s="1" t="s">
        <v>224</v>
      </c>
      <c r="B48" s="1">
        <v>0.869565217391304</v>
      </c>
    </row>
    <row r="49">
      <c r="A49" s="1" t="s">
        <v>228</v>
      </c>
      <c r="B49" s="1">
        <v>0.809523809523809</v>
      </c>
    </row>
    <row r="50">
      <c r="A50" s="1" t="s">
        <v>232</v>
      </c>
      <c r="B50" s="1">
        <v>0.5</v>
      </c>
    </row>
    <row r="51">
      <c r="A51" s="1" t="s">
        <v>236</v>
      </c>
      <c r="B51" s="1">
        <v>1.0</v>
      </c>
    </row>
    <row r="52">
      <c r="A52" s="1" t="s">
        <v>240</v>
      </c>
      <c r="B52" s="1">
        <v>1.0</v>
      </c>
    </row>
    <row r="53">
      <c r="A53" s="1" t="s">
        <v>244</v>
      </c>
      <c r="B53" s="1">
        <v>0.545454545454545</v>
      </c>
    </row>
    <row r="54">
      <c r="A54" s="1" t="s">
        <v>248</v>
      </c>
      <c r="B54" s="1">
        <v>0.666666666666666</v>
      </c>
    </row>
    <row r="55">
      <c r="A55" s="1" t="s">
        <v>252</v>
      </c>
      <c r="B55" s="1">
        <v>0.428571428571428</v>
      </c>
    </row>
    <row r="56">
      <c r="A56" s="1" t="s">
        <v>256</v>
      </c>
      <c r="B56" s="1">
        <v>0.291666666666666</v>
      </c>
    </row>
    <row r="57">
      <c r="A57" s="1" t="s">
        <v>260</v>
      </c>
      <c r="B57" s="1">
        <v>0.0</v>
      </c>
    </row>
    <row r="58">
      <c r="A58" s="1" t="s">
        <v>264</v>
      </c>
      <c r="B58" s="1">
        <v>0.111111111111111</v>
      </c>
    </row>
    <row r="59">
      <c r="A59" s="1" t="s">
        <v>268</v>
      </c>
      <c r="B59" s="1">
        <v>0.444444444444444</v>
      </c>
    </row>
    <row r="60">
      <c r="A60" s="1" t="s">
        <v>272</v>
      </c>
      <c r="B60" s="1">
        <v>0.0</v>
      </c>
    </row>
    <row r="61">
      <c r="A61" s="1" t="s">
        <v>276</v>
      </c>
      <c r="B61" s="1">
        <v>0.666666666666666</v>
      </c>
    </row>
    <row r="62">
      <c r="A62" s="1" t="s">
        <v>280</v>
      </c>
      <c r="B62" s="1">
        <v>0.545454545454545</v>
      </c>
    </row>
    <row r="63">
      <c r="A63" s="1" t="s">
        <v>284</v>
      </c>
      <c r="B63" s="1">
        <v>0.0</v>
      </c>
    </row>
    <row r="64">
      <c r="A64" s="1" t="s">
        <v>288</v>
      </c>
      <c r="B64" s="1">
        <v>0.214285714285714</v>
      </c>
    </row>
    <row r="65">
      <c r="A65" s="1" t="s">
        <v>292</v>
      </c>
      <c r="B65" s="1">
        <v>0.863636363636363</v>
      </c>
    </row>
    <row r="66">
      <c r="A66" s="1" t="s">
        <v>296</v>
      </c>
      <c r="B66" s="1">
        <v>1.0</v>
      </c>
    </row>
    <row r="67">
      <c r="A67" s="1" t="s">
        <v>300</v>
      </c>
      <c r="B67" s="1">
        <v>0.5</v>
      </c>
    </row>
    <row r="68">
      <c r="A68" s="1" t="s">
        <v>304</v>
      </c>
      <c r="B68" s="1">
        <v>0.3</v>
      </c>
    </row>
    <row r="69">
      <c r="A69" s="1" t="s">
        <v>308</v>
      </c>
      <c r="B69" s="1">
        <v>0.272727272727272</v>
      </c>
    </row>
    <row r="70">
      <c r="A70" s="1" t="s">
        <v>312</v>
      </c>
      <c r="B70" s="1">
        <v>0.25</v>
      </c>
    </row>
    <row r="71">
      <c r="A71" s="1" t="s">
        <v>316</v>
      </c>
      <c r="B71" s="1">
        <v>0.642857142857142</v>
      </c>
    </row>
    <row r="72">
      <c r="A72" s="1" t="s">
        <v>320</v>
      </c>
      <c r="B72" s="1">
        <v>0.5</v>
      </c>
    </row>
    <row r="73">
      <c r="A73" s="1" t="s">
        <v>324</v>
      </c>
      <c r="B73" s="1">
        <v>0.6</v>
      </c>
    </row>
    <row r="74">
      <c r="A74" s="1" t="s">
        <v>328</v>
      </c>
      <c r="B74" s="1">
        <v>0.222222222222222</v>
      </c>
    </row>
    <row r="75">
      <c r="A75" s="1" t="s">
        <v>332</v>
      </c>
      <c r="B75" s="1">
        <v>0.612903225806451</v>
      </c>
    </row>
    <row r="76">
      <c r="A76" s="1" t="s">
        <v>336</v>
      </c>
      <c r="B76" s="1">
        <v>0.0</v>
      </c>
    </row>
    <row r="77">
      <c r="A77" s="1" t="s">
        <v>340</v>
      </c>
      <c r="B77" s="1">
        <v>0.55</v>
      </c>
    </row>
    <row r="78">
      <c r="A78" s="1" t="s">
        <v>344</v>
      </c>
      <c r="B78" s="1">
        <v>0.857142857142857</v>
      </c>
    </row>
    <row r="79">
      <c r="A79" s="1" t="s">
        <v>348</v>
      </c>
      <c r="B79" s="1">
        <v>0.833333333333333</v>
      </c>
    </row>
    <row r="80">
      <c r="A80" s="1" t="s">
        <v>352</v>
      </c>
      <c r="B80" s="1">
        <v>0.391304347826087</v>
      </c>
    </row>
    <row r="81">
      <c r="A81" s="1" t="s">
        <v>356</v>
      </c>
      <c r="B81" s="1">
        <v>1.0</v>
      </c>
    </row>
    <row r="82">
      <c r="A82" s="1" t="s">
        <v>360</v>
      </c>
      <c r="B82" s="1">
        <v>0.384615384615384</v>
      </c>
    </row>
    <row r="83">
      <c r="A83" s="1" t="s">
        <v>364</v>
      </c>
      <c r="B83" s="1">
        <v>0.75</v>
      </c>
    </row>
    <row r="84">
      <c r="A84" s="1" t="s">
        <v>368</v>
      </c>
      <c r="B84" s="1">
        <v>0.0</v>
      </c>
    </row>
    <row r="85">
      <c r="A85" s="1" t="s">
        <v>372</v>
      </c>
      <c r="B85" s="1">
        <v>0.2</v>
      </c>
    </row>
    <row r="86">
      <c r="A86" s="1" t="s">
        <v>376</v>
      </c>
      <c r="B86" s="1">
        <v>0.521739130434782</v>
      </c>
    </row>
    <row r="87">
      <c r="A87" s="1" t="s">
        <v>380</v>
      </c>
      <c r="B87" s="1">
        <v>0.857142857142857</v>
      </c>
    </row>
    <row r="88">
      <c r="A88" s="1" t="s">
        <v>384</v>
      </c>
      <c r="B88" s="1">
        <v>0.0</v>
      </c>
    </row>
    <row r="89">
      <c r="A89" s="1" t="s">
        <v>388</v>
      </c>
      <c r="B89" s="1">
        <v>0.0</v>
      </c>
    </row>
    <row r="90">
      <c r="A90" s="1" t="s">
        <v>392</v>
      </c>
      <c r="B90" s="1">
        <v>0.363636363636363</v>
      </c>
    </row>
    <row r="91">
      <c r="A91" s="1" t="s">
        <v>396</v>
      </c>
      <c r="B91" s="1">
        <v>0.5</v>
      </c>
    </row>
    <row r="92">
      <c r="A92" s="1" t="s">
        <v>400</v>
      </c>
      <c r="B92" s="1">
        <v>0.761904761904761</v>
      </c>
    </row>
    <row r="93">
      <c r="A93" s="1" t="s">
        <v>404</v>
      </c>
      <c r="B93" s="1">
        <v>0.25</v>
      </c>
    </row>
    <row r="94">
      <c r="A94" s="1" t="s">
        <v>408</v>
      </c>
      <c r="B94" s="1">
        <v>0.666666666666666</v>
      </c>
    </row>
    <row r="95">
      <c r="A95" s="1" t="s">
        <v>412</v>
      </c>
      <c r="B95" s="1">
        <v>0.5</v>
      </c>
    </row>
    <row r="96">
      <c r="A96" s="1" t="s">
        <v>416</v>
      </c>
      <c r="B96" s="1">
        <v>0.142857142857142</v>
      </c>
    </row>
    <row r="97">
      <c r="A97" s="1" t="s">
        <v>420</v>
      </c>
      <c r="B97" s="1">
        <v>0.888888888888888</v>
      </c>
    </row>
    <row r="98">
      <c r="A98" s="1" t="s">
        <v>424</v>
      </c>
      <c r="B98" s="1">
        <v>0.5</v>
      </c>
    </row>
    <row r="99">
      <c r="A99" s="1" t="s">
        <v>428</v>
      </c>
      <c r="B99" s="1">
        <v>0.6</v>
      </c>
    </row>
    <row r="100">
      <c r="A100" s="1" t="s">
        <v>432</v>
      </c>
      <c r="B100" s="1">
        <v>0.2</v>
      </c>
    </row>
    <row r="101">
      <c r="A101" s="1" t="s">
        <v>436</v>
      </c>
      <c r="B101" s="1">
        <v>0.5</v>
      </c>
    </row>
    <row r="102">
      <c r="A102" s="1" t="s">
        <v>440</v>
      </c>
      <c r="B102" s="1">
        <v>0.4</v>
      </c>
    </row>
    <row r="103">
      <c r="A103" s="1" t="s">
        <v>444</v>
      </c>
      <c r="B103" s="1">
        <v>0.555555555555555</v>
      </c>
    </row>
    <row r="104">
      <c r="A104" s="1" t="s">
        <v>448</v>
      </c>
      <c r="B104" s="1">
        <v>0.857142857142857</v>
      </c>
    </row>
    <row r="105">
      <c r="A105" s="1" t="s">
        <v>452</v>
      </c>
      <c r="B105" s="1">
        <v>0.625</v>
      </c>
    </row>
    <row r="106">
      <c r="A106" s="1" t="s">
        <v>456</v>
      </c>
      <c r="B106" s="1">
        <v>0.611111111111111</v>
      </c>
    </row>
    <row r="107">
      <c r="A107" s="1" t="s">
        <v>460</v>
      </c>
      <c r="B107" s="1">
        <v>0.4</v>
      </c>
    </row>
    <row r="108">
      <c r="A108" s="1" t="s">
        <v>464</v>
      </c>
      <c r="B108" s="1">
        <v>0.2</v>
      </c>
    </row>
    <row r="109">
      <c r="A109" s="1" t="s">
        <v>468</v>
      </c>
      <c r="B109" s="1">
        <v>0.888888888888888</v>
      </c>
    </row>
    <row r="110">
      <c r="A110" s="1" t="s">
        <v>472</v>
      </c>
      <c r="B110" s="1">
        <v>0.409090909090909</v>
      </c>
    </row>
    <row r="111">
      <c r="A111" s="1" t="s">
        <v>476</v>
      </c>
      <c r="B111" s="1">
        <v>0.583333333333333</v>
      </c>
    </row>
    <row r="112">
      <c r="A112" s="1" t="s">
        <v>480</v>
      </c>
      <c r="B112" s="1">
        <v>0.416666666666666</v>
      </c>
    </row>
    <row r="113">
      <c r="A113" s="1" t="s">
        <v>484</v>
      </c>
      <c r="B113" s="1">
        <v>0.214285714285714</v>
      </c>
    </row>
    <row r="114">
      <c r="A114" s="1" t="s">
        <v>488</v>
      </c>
      <c r="B114" s="1">
        <v>0.064516129032258</v>
      </c>
    </row>
    <row r="115">
      <c r="A115" s="1" t="s">
        <v>492</v>
      </c>
      <c r="B115" s="1">
        <v>0.555555555555555</v>
      </c>
    </row>
    <row r="116">
      <c r="A116" s="1" t="s">
        <v>496</v>
      </c>
      <c r="B116" s="1">
        <v>0.916666666666666</v>
      </c>
    </row>
    <row r="117">
      <c r="A117" s="1" t="s">
        <v>500</v>
      </c>
      <c r="B117" s="1">
        <v>0.5</v>
      </c>
    </row>
    <row r="118">
      <c r="A118" s="1" t="s">
        <v>504</v>
      </c>
      <c r="B118" s="1">
        <v>0.25</v>
      </c>
    </row>
    <row r="119">
      <c r="A119" s="1" t="s">
        <v>508</v>
      </c>
      <c r="B119" s="1">
        <v>0.0</v>
      </c>
    </row>
    <row r="120">
      <c r="A120" s="1" t="s">
        <v>512</v>
      </c>
      <c r="B120" s="1">
        <v>0.842105263157894</v>
      </c>
    </row>
    <row r="121">
      <c r="A121" s="1" t="s">
        <v>516</v>
      </c>
      <c r="B121" s="1">
        <v>0.0</v>
      </c>
    </row>
    <row r="122">
      <c r="A122" s="1" t="s">
        <v>520</v>
      </c>
      <c r="B122" s="1">
        <v>0.696969696969697</v>
      </c>
    </row>
    <row r="123">
      <c r="A123" s="1" t="s">
        <v>524</v>
      </c>
      <c r="B123" s="1">
        <v>0.75</v>
      </c>
    </row>
    <row r="124">
      <c r="A124" s="1" t="s">
        <v>528</v>
      </c>
      <c r="B124" s="1">
        <v>1.0</v>
      </c>
    </row>
    <row r="125">
      <c r="A125" s="1" t="s">
        <v>532</v>
      </c>
      <c r="B125" s="1">
        <v>0.642857142857142</v>
      </c>
    </row>
    <row r="126">
      <c r="A126" s="1" t="s">
        <v>536</v>
      </c>
      <c r="B126" s="1">
        <v>0.0</v>
      </c>
    </row>
    <row r="127">
      <c r="A127" s="1" t="s">
        <v>540</v>
      </c>
      <c r="B127" s="1">
        <v>0.344827586206896</v>
      </c>
    </row>
    <row r="128">
      <c r="A128" s="1" t="s">
        <v>544</v>
      </c>
      <c r="B128" s="1">
        <v>0.304347826086956</v>
      </c>
    </row>
    <row r="129">
      <c r="A129" s="1" t="s">
        <v>548</v>
      </c>
      <c r="B129" s="1">
        <v>0.411764705882352</v>
      </c>
    </row>
    <row r="130">
      <c r="A130" s="1" t="s">
        <v>552</v>
      </c>
      <c r="B130" s="1">
        <v>0.615384615384615</v>
      </c>
    </row>
    <row r="131">
      <c r="A131" s="1" t="s">
        <v>556</v>
      </c>
      <c r="B131" s="1">
        <v>0.0</v>
      </c>
    </row>
    <row r="132">
      <c r="A132" s="1" t="s">
        <v>560</v>
      </c>
      <c r="B132" s="1">
        <v>0.142857142857142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944</v>
      </c>
    </row>
    <row r="2">
      <c r="A2" s="1" t="s">
        <v>40</v>
      </c>
      <c r="B2" s="1">
        <v>0.0</v>
      </c>
    </row>
    <row r="3">
      <c r="A3" s="1" t="s">
        <v>48</v>
      </c>
      <c r="B3" s="1">
        <v>0.0</v>
      </c>
    </row>
    <row r="4">
      <c r="A4" s="1" t="s">
        <v>52</v>
      </c>
      <c r="B4" s="1">
        <v>0.107142857142857</v>
      </c>
    </row>
    <row r="5">
      <c r="A5" s="1" t="s">
        <v>56</v>
      </c>
      <c r="B5" s="1">
        <v>0.0</v>
      </c>
    </row>
    <row r="6">
      <c r="A6" s="1" t="s">
        <v>60</v>
      </c>
      <c r="B6" s="1">
        <v>0.333333333333333</v>
      </c>
    </row>
    <row r="7">
      <c r="A7" s="1" t="s">
        <v>64</v>
      </c>
      <c r="B7" s="1">
        <v>0.0</v>
      </c>
    </row>
    <row r="8">
      <c r="A8" s="1" t="s">
        <v>68</v>
      </c>
      <c r="B8" s="1">
        <v>0.0</v>
      </c>
    </row>
    <row r="9">
      <c r="A9" s="1" t="s">
        <v>72</v>
      </c>
      <c r="B9" s="1">
        <v>0.0625</v>
      </c>
    </row>
    <row r="10">
      <c r="A10" s="1" t="s">
        <v>76</v>
      </c>
      <c r="B10" s="1">
        <v>0.0172413793103448</v>
      </c>
    </row>
    <row r="11">
      <c r="A11" s="1" t="s">
        <v>80</v>
      </c>
      <c r="B11" s="1">
        <v>0.0</v>
      </c>
    </row>
    <row r="12">
      <c r="A12" s="1" t="s">
        <v>88</v>
      </c>
      <c r="B12" s="1">
        <v>0.0</v>
      </c>
    </row>
    <row r="13">
      <c r="A13" s="1" t="s">
        <v>92</v>
      </c>
      <c r="B13" s="1">
        <v>0.333333333333333</v>
      </c>
    </row>
    <row r="14">
      <c r="A14" s="1" t="s">
        <v>96</v>
      </c>
      <c r="B14" s="1">
        <v>0.117647058823529</v>
      </c>
    </row>
    <row r="15">
      <c r="A15" s="1" t="s">
        <v>100</v>
      </c>
      <c r="B15" s="1">
        <v>0.032258064516129</v>
      </c>
    </row>
    <row r="16">
      <c r="A16" s="1" t="s">
        <v>104</v>
      </c>
      <c r="B16" s="1">
        <v>0.153846153846153</v>
      </c>
    </row>
    <row r="17">
      <c r="A17" s="1" t="s">
        <v>108</v>
      </c>
      <c r="B17" s="1">
        <v>0.0</v>
      </c>
    </row>
    <row r="18">
      <c r="A18" s="1" t="s">
        <v>116</v>
      </c>
      <c r="B18" s="1">
        <v>0.0344827586206896</v>
      </c>
    </row>
    <row r="19">
      <c r="A19" s="1" t="s">
        <v>120</v>
      </c>
      <c r="B19" s="1">
        <v>0.125</v>
      </c>
    </row>
    <row r="20">
      <c r="A20" s="1" t="s">
        <v>124</v>
      </c>
      <c r="B20" s="1">
        <v>0.1</v>
      </c>
    </row>
    <row r="21">
      <c r="A21" s="1" t="s">
        <v>128</v>
      </c>
      <c r="B21" s="1">
        <v>0.08</v>
      </c>
    </row>
    <row r="22">
      <c r="A22" s="1" t="s">
        <v>132</v>
      </c>
      <c r="B22" s="1">
        <v>0.125</v>
      </c>
    </row>
    <row r="23">
      <c r="A23" s="1" t="s">
        <v>136</v>
      </c>
      <c r="B23" s="1">
        <v>0.25</v>
      </c>
    </row>
    <row r="24">
      <c r="A24" s="1" t="s">
        <v>144</v>
      </c>
      <c r="B24" s="1">
        <v>0.25</v>
      </c>
    </row>
    <row r="25">
      <c r="A25" s="1" t="s">
        <v>148</v>
      </c>
      <c r="B25" s="1">
        <v>0.0</v>
      </c>
    </row>
    <row r="26">
      <c r="A26" s="1" t="s">
        <v>152</v>
      </c>
      <c r="B26" s="1">
        <v>0.0344827586206896</v>
      </c>
    </row>
    <row r="27">
      <c r="A27" s="1" t="s">
        <v>156</v>
      </c>
      <c r="B27" s="1">
        <v>0.0</v>
      </c>
    </row>
    <row r="28">
      <c r="A28" s="1" t="s">
        <v>160</v>
      </c>
      <c r="B28" s="1">
        <v>0.0</v>
      </c>
    </row>
    <row r="29">
      <c r="A29" s="1" t="s">
        <v>164</v>
      </c>
      <c r="B29" s="1">
        <v>0.0</v>
      </c>
    </row>
    <row r="30">
      <c r="A30" s="1" t="s">
        <v>168</v>
      </c>
      <c r="B30" s="1">
        <v>0.0</v>
      </c>
    </row>
    <row r="31">
      <c r="A31" s="1" t="s">
        <v>172</v>
      </c>
      <c r="B31" s="1">
        <v>0.0714285714285714</v>
      </c>
    </row>
    <row r="32">
      <c r="A32" s="1" t="s">
        <v>176</v>
      </c>
      <c r="B32" s="1">
        <v>0.333333333333333</v>
      </c>
    </row>
    <row r="33">
      <c r="A33" s="1" t="s">
        <v>180</v>
      </c>
      <c r="B33" s="1">
        <v>0.0357142857142857</v>
      </c>
    </row>
    <row r="34">
      <c r="A34" s="1" t="s">
        <v>184</v>
      </c>
      <c r="B34" s="1">
        <v>0.0384615384615384</v>
      </c>
    </row>
    <row r="35">
      <c r="A35" s="1" t="s">
        <v>196</v>
      </c>
      <c r="B35" s="1">
        <v>0.0</v>
      </c>
    </row>
    <row r="36">
      <c r="A36" s="1" t="s">
        <v>204</v>
      </c>
      <c r="B36" s="1">
        <v>0.0169491525423728</v>
      </c>
    </row>
    <row r="37">
      <c r="A37" s="1" t="s">
        <v>208</v>
      </c>
      <c r="B37" s="1">
        <v>0.0</v>
      </c>
    </row>
    <row r="38">
      <c r="A38" s="1" t="s">
        <v>212</v>
      </c>
      <c r="B38" s="1">
        <v>0.0</v>
      </c>
    </row>
    <row r="39">
      <c r="A39" s="1" t="s">
        <v>216</v>
      </c>
      <c r="B39" s="1">
        <v>0.136363636363636</v>
      </c>
    </row>
    <row r="40">
      <c r="A40" s="1" t="s">
        <v>220</v>
      </c>
      <c r="B40" s="1">
        <v>0.0833333333333333</v>
      </c>
    </row>
    <row r="41">
      <c r="A41" s="1" t="s">
        <v>224</v>
      </c>
      <c r="B41" s="1">
        <v>0.0909090909090909</v>
      </c>
    </row>
    <row r="42">
      <c r="A42" s="1" t="s">
        <v>228</v>
      </c>
      <c r="B42" s="1">
        <v>0.1</v>
      </c>
    </row>
    <row r="43">
      <c r="A43" s="1" t="s">
        <v>232</v>
      </c>
      <c r="B43" s="1">
        <v>0.0</v>
      </c>
    </row>
    <row r="44">
      <c r="A44" s="1" t="s">
        <v>236</v>
      </c>
      <c r="B44" s="1">
        <v>0.666666666666666</v>
      </c>
    </row>
    <row r="45">
      <c r="A45" s="1" t="s">
        <v>240</v>
      </c>
      <c r="B45" s="1">
        <v>0.0909090909090909</v>
      </c>
    </row>
    <row r="46">
      <c r="A46" s="1" t="s">
        <v>244</v>
      </c>
      <c r="B46" s="1">
        <v>0.1</v>
      </c>
    </row>
    <row r="47">
      <c r="A47" s="1" t="s">
        <v>248</v>
      </c>
      <c r="B47" s="1">
        <v>0.2</v>
      </c>
    </row>
    <row r="48">
      <c r="A48" s="1" t="s">
        <v>252</v>
      </c>
      <c r="B48" s="1">
        <v>0.0</v>
      </c>
    </row>
    <row r="49">
      <c r="A49" s="1" t="s">
        <v>256</v>
      </c>
      <c r="B49" s="1">
        <v>0.0869565217391304</v>
      </c>
    </row>
    <row r="50">
      <c r="A50" s="1" t="s">
        <v>264</v>
      </c>
      <c r="B50" s="1">
        <v>0.0</v>
      </c>
    </row>
    <row r="51">
      <c r="A51" s="1" t="s">
        <v>268</v>
      </c>
      <c r="B51" s="1">
        <v>0.125</v>
      </c>
    </row>
    <row r="52">
      <c r="A52" s="1" t="s">
        <v>272</v>
      </c>
      <c r="B52" s="1">
        <v>0.0833333333333333</v>
      </c>
    </row>
    <row r="53">
      <c r="A53" s="1" t="s">
        <v>276</v>
      </c>
      <c r="B53" s="1">
        <v>0.375</v>
      </c>
    </row>
    <row r="54">
      <c r="A54" s="1" t="s">
        <v>280</v>
      </c>
      <c r="B54" s="1">
        <v>0.1</v>
      </c>
    </row>
    <row r="55">
      <c r="A55" s="1" t="s">
        <v>284</v>
      </c>
      <c r="B55" s="1">
        <v>0.133333333333333</v>
      </c>
    </row>
    <row r="56">
      <c r="A56" s="1" t="s">
        <v>288</v>
      </c>
      <c r="B56" s="1">
        <v>0.0</v>
      </c>
    </row>
    <row r="57">
      <c r="A57" s="1" t="s">
        <v>292</v>
      </c>
      <c r="B57" s="1">
        <v>0.0952380952380952</v>
      </c>
    </row>
    <row r="58">
      <c r="A58" s="1" t="s">
        <v>300</v>
      </c>
      <c r="B58" s="1">
        <v>0.0</v>
      </c>
    </row>
    <row r="59">
      <c r="A59" s="1" t="s">
        <v>304</v>
      </c>
      <c r="B59" s="1">
        <v>0.111111111111111</v>
      </c>
    </row>
    <row r="60">
      <c r="A60" s="1" t="s">
        <v>308</v>
      </c>
      <c r="B60" s="1">
        <v>0.2</v>
      </c>
    </row>
    <row r="61">
      <c r="A61" s="1" t="s">
        <v>312</v>
      </c>
      <c r="B61" s="1">
        <v>0.142857142857142</v>
      </c>
    </row>
    <row r="62">
      <c r="A62" s="1" t="s">
        <v>316</v>
      </c>
      <c r="B62" s="1">
        <v>0.0</v>
      </c>
    </row>
    <row r="63">
      <c r="A63" s="1" t="s">
        <v>320</v>
      </c>
      <c r="B63" s="1">
        <v>0.0</v>
      </c>
    </row>
    <row r="64">
      <c r="A64" s="1" t="s">
        <v>324</v>
      </c>
      <c r="B64" s="1">
        <v>0.222222222222222</v>
      </c>
    </row>
    <row r="65">
      <c r="A65" s="1" t="s">
        <v>328</v>
      </c>
      <c r="B65" s="1">
        <v>0.117647058823529</v>
      </c>
    </row>
    <row r="66">
      <c r="A66" s="1" t="s">
        <v>332</v>
      </c>
      <c r="B66" s="1">
        <v>0.0</v>
      </c>
    </row>
    <row r="67">
      <c r="A67" s="1" t="s">
        <v>336</v>
      </c>
      <c r="B67" s="1">
        <v>0.2</v>
      </c>
    </row>
    <row r="68">
      <c r="A68" s="1" t="s">
        <v>340</v>
      </c>
      <c r="B68" s="1">
        <v>0.157894736842105</v>
      </c>
    </row>
    <row r="69">
      <c r="A69" s="1" t="s">
        <v>344</v>
      </c>
      <c r="B69" s="1">
        <v>0.333333333333333</v>
      </c>
    </row>
    <row r="70">
      <c r="A70" s="1" t="s">
        <v>348</v>
      </c>
      <c r="B70" s="1">
        <v>0.0</v>
      </c>
    </row>
    <row r="71">
      <c r="A71" s="1" t="s">
        <v>352</v>
      </c>
      <c r="B71" s="1">
        <v>0.0909090909090909</v>
      </c>
    </row>
    <row r="72">
      <c r="A72" s="1" t="s">
        <v>356</v>
      </c>
      <c r="B72" s="1">
        <v>0.5</v>
      </c>
    </row>
    <row r="73">
      <c r="A73" s="1" t="s">
        <v>360</v>
      </c>
      <c r="B73" s="1">
        <v>0.25</v>
      </c>
    </row>
    <row r="74">
      <c r="A74" s="1" t="s">
        <v>364</v>
      </c>
      <c r="B74" s="1">
        <v>0.333333333333333</v>
      </c>
    </row>
    <row r="75">
      <c r="A75" s="1" t="s">
        <v>368</v>
      </c>
      <c r="B75" s="1">
        <v>0.0</v>
      </c>
    </row>
    <row r="76">
      <c r="A76" s="1" t="s">
        <v>372</v>
      </c>
      <c r="B76" s="1">
        <v>0.0</v>
      </c>
    </row>
    <row r="77">
      <c r="A77" s="1" t="s">
        <v>376</v>
      </c>
      <c r="B77" s="1">
        <v>0.136363636363636</v>
      </c>
    </row>
    <row r="78">
      <c r="A78" s="1" t="s">
        <v>380</v>
      </c>
      <c r="B78" s="1">
        <v>0.333333333333333</v>
      </c>
    </row>
    <row r="79">
      <c r="A79" s="1" t="s">
        <v>384</v>
      </c>
      <c r="B79" s="1">
        <v>0.0</v>
      </c>
    </row>
    <row r="80">
      <c r="A80" s="1" t="s">
        <v>388</v>
      </c>
      <c r="B80" s="1">
        <v>0.333333333333333</v>
      </c>
    </row>
    <row r="81">
      <c r="A81" s="1" t="s">
        <v>392</v>
      </c>
      <c r="B81" s="1">
        <v>0.1</v>
      </c>
    </row>
    <row r="82">
      <c r="A82" s="1" t="s">
        <v>396</v>
      </c>
      <c r="B82" s="1">
        <v>0.272727272727272</v>
      </c>
    </row>
    <row r="83">
      <c r="A83" s="1" t="s">
        <v>400</v>
      </c>
      <c r="B83" s="1">
        <v>0.25</v>
      </c>
    </row>
    <row r="84">
      <c r="A84" s="1" t="s">
        <v>404</v>
      </c>
      <c r="B84" s="1">
        <v>0.0</v>
      </c>
    </row>
    <row r="85">
      <c r="A85" s="1" t="s">
        <v>408</v>
      </c>
      <c r="B85" s="1">
        <v>0.0</v>
      </c>
    </row>
    <row r="86">
      <c r="A86" s="1" t="s">
        <v>412</v>
      </c>
      <c r="B86" s="1">
        <v>0.0</v>
      </c>
    </row>
    <row r="87">
      <c r="A87" s="1" t="s">
        <v>416</v>
      </c>
      <c r="B87" s="1">
        <v>0.0</v>
      </c>
    </row>
    <row r="88">
      <c r="A88" s="1" t="s">
        <v>420</v>
      </c>
      <c r="B88" s="1">
        <v>0.0</v>
      </c>
    </row>
    <row r="89">
      <c r="A89" s="1" t="s">
        <v>424</v>
      </c>
      <c r="B89" s="1">
        <v>0.0</v>
      </c>
    </row>
    <row r="90">
      <c r="A90" s="1" t="s">
        <v>428</v>
      </c>
      <c r="B90" s="1">
        <v>0.222222222222222</v>
      </c>
    </row>
    <row r="91">
      <c r="A91" s="1" t="s">
        <v>432</v>
      </c>
      <c r="B91" s="1">
        <v>0.0</v>
      </c>
    </row>
    <row r="92">
      <c r="A92" s="1" t="s">
        <v>436</v>
      </c>
      <c r="B92" s="1">
        <v>0.0</v>
      </c>
    </row>
    <row r="93">
      <c r="A93" s="1" t="s">
        <v>440</v>
      </c>
      <c r="B93" s="1">
        <v>0.0689655172413793</v>
      </c>
    </row>
    <row r="94">
      <c r="A94" s="1" t="s">
        <v>444</v>
      </c>
      <c r="B94" s="1">
        <v>0.0588235294117647</v>
      </c>
    </row>
    <row r="95">
      <c r="A95" s="1" t="s">
        <v>448</v>
      </c>
      <c r="B95" s="1">
        <v>0.0</v>
      </c>
    </row>
    <row r="96">
      <c r="A96" s="1" t="s">
        <v>452</v>
      </c>
      <c r="B96" s="1">
        <v>0.2</v>
      </c>
    </row>
    <row r="97">
      <c r="A97" s="1" t="s">
        <v>456</v>
      </c>
      <c r="B97" s="1">
        <v>0.0285714285714285</v>
      </c>
    </row>
    <row r="98">
      <c r="A98" s="1" t="s">
        <v>460</v>
      </c>
      <c r="B98" s="1">
        <v>0.0</v>
      </c>
    </row>
    <row r="99">
      <c r="A99" s="1" t="s">
        <v>464</v>
      </c>
      <c r="B99" s="1">
        <v>0.25</v>
      </c>
    </row>
    <row r="100">
      <c r="A100" s="1" t="s">
        <v>468</v>
      </c>
      <c r="B100" s="1">
        <v>0.117647058823529</v>
      </c>
    </row>
    <row r="101">
      <c r="A101" s="1" t="s">
        <v>472</v>
      </c>
      <c r="B101" s="1">
        <v>0.142857142857142</v>
      </c>
    </row>
    <row r="102">
      <c r="A102" s="1" t="s">
        <v>476</v>
      </c>
      <c r="B102" s="1">
        <v>0.0869565217391304</v>
      </c>
    </row>
    <row r="103">
      <c r="A103" s="1" t="s">
        <v>480</v>
      </c>
      <c r="B103" s="1">
        <v>0.0</v>
      </c>
    </row>
    <row r="104">
      <c r="A104" s="1" t="s">
        <v>484</v>
      </c>
      <c r="B104" s="1">
        <v>0.0769230769230769</v>
      </c>
    </row>
    <row r="105">
      <c r="A105" s="1" t="s">
        <v>488</v>
      </c>
      <c r="B105" s="1">
        <v>0.1</v>
      </c>
    </row>
    <row r="106">
      <c r="A106" s="1" t="s">
        <v>492</v>
      </c>
      <c r="B106" s="1">
        <v>0.25</v>
      </c>
    </row>
    <row r="107">
      <c r="A107" s="1" t="s">
        <v>496</v>
      </c>
      <c r="B107" s="1">
        <v>0.181818181818181</v>
      </c>
    </row>
    <row r="108">
      <c r="A108" s="1" t="s">
        <v>500</v>
      </c>
      <c r="B108" s="1">
        <v>0.0</v>
      </c>
    </row>
    <row r="109">
      <c r="A109" s="1" t="s">
        <v>504</v>
      </c>
      <c r="B109" s="1">
        <v>0.0</v>
      </c>
    </row>
    <row r="110">
      <c r="A110" s="1" t="s">
        <v>508</v>
      </c>
      <c r="B110" s="1">
        <v>0.0</v>
      </c>
    </row>
    <row r="111">
      <c r="A111" s="1" t="s">
        <v>512</v>
      </c>
      <c r="B111" s="1">
        <v>0.0</v>
      </c>
    </row>
    <row r="112">
      <c r="A112" s="1" t="s">
        <v>516</v>
      </c>
      <c r="B112" s="1">
        <v>0.0</v>
      </c>
    </row>
    <row r="113">
      <c r="A113" s="1" t="s">
        <v>520</v>
      </c>
      <c r="B113" s="1">
        <v>0.03125</v>
      </c>
    </row>
    <row r="114">
      <c r="A114" s="1" t="s">
        <v>524</v>
      </c>
      <c r="B114" s="1">
        <v>0.333333333333333</v>
      </c>
    </row>
    <row r="115">
      <c r="A115" s="1" t="s">
        <v>532</v>
      </c>
      <c r="B115" s="1">
        <v>0.0769230769230769</v>
      </c>
    </row>
    <row r="116">
      <c r="A116" s="1" t="s">
        <v>536</v>
      </c>
      <c r="B116" s="1">
        <v>0.214285714285714</v>
      </c>
    </row>
    <row r="117">
      <c r="A117" s="1" t="s">
        <v>540</v>
      </c>
      <c r="B117" s="1">
        <v>0.0</v>
      </c>
    </row>
    <row r="118">
      <c r="A118" s="1" t="s">
        <v>544</v>
      </c>
      <c r="B118" s="1">
        <v>0.0454545454545454</v>
      </c>
    </row>
    <row r="119">
      <c r="A119" s="1" t="s">
        <v>548</v>
      </c>
      <c r="B119" s="1">
        <v>0.0625</v>
      </c>
    </row>
    <row r="120">
      <c r="A120" s="1" t="s">
        <v>552</v>
      </c>
      <c r="B120" s="1">
        <v>0.166666666666666</v>
      </c>
    </row>
    <row r="121">
      <c r="A121" s="1" t="s">
        <v>556</v>
      </c>
      <c r="B121" s="1">
        <v>0.1</v>
      </c>
    </row>
    <row r="122">
      <c r="A122" s="1" t="s">
        <v>560</v>
      </c>
      <c r="B122" s="1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945</v>
      </c>
    </row>
    <row r="2">
      <c r="A2" s="1" t="s">
        <v>40</v>
      </c>
      <c r="B2" s="16">
        <v>0.9565215</v>
      </c>
    </row>
    <row r="3">
      <c r="A3" s="1" t="s">
        <v>44</v>
      </c>
      <c r="B3" s="16">
        <v>0.0</v>
      </c>
    </row>
    <row r="4">
      <c r="A4" s="1" t="s">
        <v>48</v>
      </c>
      <c r="B4" s="16">
        <v>0.2</v>
      </c>
    </row>
    <row r="5">
      <c r="A5" s="1" t="s">
        <v>52</v>
      </c>
      <c r="B5" s="16">
        <v>0.87335797</v>
      </c>
    </row>
    <row r="6">
      <c r="A6" s="1" t="s">
        <v>56</v>
      </c>
      <c r="B6" s="16">
        <v>0.74572175</v>
      </c>
    </row>
    <row r="7">
      <c r="A7" s="1" t="s">
        <v>60</v>
      </c>
      <c r="B7" s="16">
        <v>0.43</v>
      </c>
    </row>
    <row r="8">
      <c r="A8" s="1" t="s">
        <v>64</v>
      </c>
      <c r="B8" s="16">
        <v>0.82559527</v>
      </c>
    </row>
    <row r="9">
      <c r="A9" s="1" t="s">
        <v>68</v>
      </c>
      <c r="B9" s="16">
        <v>0.73544978</v>
      </c>
    </row>
    <row r="10">
      <c r="A10" s="1" t="s">
        <v>72</v>
      </c>
      <c r="B10" s="16">
        <v>0.25668447</v>
      </c>
    </row>
    <row r="11">
      <c r="A11" s="1" t="s">
        <v>76</v>
      </c>
      <c r="B11" s="16">
        <v>0.13947741</v>
      </c>
    </row>
    <row r="12">
      <c r="A12" s="1" t="s">
        <v>80</v>
      </c>
      <c r="B12" s="16">
        <v>0.5251552</v>
      </c>
    </row>
    <row r="13">
      <c r="A13" s="1" t="s">
        <v>84</v>
      </c>
      <c r="B13" s="16">
        <v>0.0</v>
      </c>
    </row>
    <row r="14">
      <c r="A14" s="1" t="s">
        <v>88</v>
      </c>
      <c r="B14" s="16">
        <v>0.8913045</v>
      </c>
    </row>
    <row r="15">
      <c r="A15" s="1" t="s">
        <v>92</v>
      </c>
      <c r="B15" s="16">
        <v>0.67445054</v>
      </c>
    </row>
    <row r="16">
      <c r="A16" s="1" t="s">
        <v>96</v>
      </c>
      <c r="B16" s="16">
        <v>0.41388889</v>
      </c>
    </row>
    <row r="17">
      <c r="A17" s="1" t="s">
        <v>100</v>
      </c>
      <c r="B17" s="16">
        <v>0.35602675</v>
      </c>
    </row>
    <row r="18">
      <c r="A18" s="1" t="s">
        <v>104</v>
      </c>
      <c r="B18" s="16">
        <v>0.83724307</v>
      </c>
    </row>
    <row r="19">
      <c r="A19" s="1" t="s">
        <v>108</v>
      </c>
      <c r="B19" s="16">
        <v>0.66666671</v>
      </c>
    </row>
    <row r="20">
      <c r="A20" s="1" t="s">
        <v>112</v>
      </c>
      <c r="B20" s="16">
        <v>1.0</v>
      </c>
    </row>
    <row r="21">
      <c r="A21" s="1" t="s">
        <v>116</v>
      </c>
      <c r="B21" s="16">
        <v>0.22630303</v>
      </c>
    </row>
    <row r="22">
      <c r="A22" s="1" t="s">
        <v>120</v>
      </c>
      <c r="B22" s="16">
        <v>0.67851659</v>
      </c>
    </row>
    <row r="23">
      <c r="A23" s="1" t="s">
        <v>124</v>
      </c>
      <c r="B23" s="16">
        <v>0.33734255</v>
      </c>
    </row>
    <row r="24">
      <c r="A24" s="1" t="s">
        <v>128</v>
      </c>
      <c r="B24" s="16">
        <v>0.28227772</v>
      </c>
    </row>
    <row r="25">
      <c r="A25" s="1" t="s">
        <v>132</v>
      </c>
      <c r="B25" s="16">
        <v>0.59788367</v>
      </c>
    </row>
    <row r="26">
      <c r="A26" s="1" t="s">
        <v>136</v>
      </c>
      <c r="B26" s="16">
        <v>0.4</v>
      </c>
    </row>
    <row r="27">
      <c r="A27" s="1" t="s">
        <v>140</v>
      </c>
      <c r="B27" s="16">
        <v>1.0</v>
      </c>
    </row>
    <row r="28">
      <c r="A28" s="1" t="s">
        <v>144</v>
      </c>
      <c r="B28" s="16">
        <v>0.7545456</v>
      </c>
    </row>
    <row r="29">
      <c r="A29" s="1" t="s">
        <v>148</v>
      </c>
      <c r="B29" s="16">
        <v>0.0</v>
      </c>
    </row>
    <row r="30">
      <c r="A30" s="1" t="s">
        <v>152</v>
      </c>
      <c r="B30" s="16">
        <v>0.561137</v>
      </c>
    </row>
    <row r="31">
      <c r="A31" s="1" t="s">
        <v>156</v>
      </c>
      <c r="B31" s="16">
        <v>0.38636383</v>
      </c>
    </row>
    <row r="32">
      <c r="A32" s="1" t="s">
        <v>160</v>
      </c>
      <c r="B32" s="16">
        <v>0.41666667</v>
      </c>
    </row>
    <row r="33">
      <c r="A33" s="1" t="s">
        <v>164</v>
      </c>
      <c r="B33" s="16">
        <v>0.0</v>
      </c>
    </row>
    <row r="34">
      <c r="A34" s="1" t="s">
        <v>168</v>
      </c>
      <c r="B34" s="16">
        <v>0.42</v>
      </c>
    </row>
    <row r="35">
      <c r="A35" s="1" t="s">
        <v>172</v>
      </c>
      <c r="B35" s="16">
        <v>0.22028987</v>
      </c>
    </row>
    <row r="36">
      <c r="A36" s="1" t="s">
        <v>176</v>
      </c>
      <c r="B36" s="16">
        <v>0.43428571</v>
      </c>
    </row>
    <row r="37">
      <c r="A37" s="1" t="s">
        <v>180</v>
      </c>
      <c r="B37" s="16">
        <v>0.27032021</v>
      </c>
    </row>
    <row r="38">
      <c r="A38" s="1" t="s">
        <v>184</v>
      </c>
      <c r="B38" s="16">
        <v>0.2323233</v>
      </c>
    </row>
    <row r="39">
      <c r="A39" s="1" t="s">
        <v>188</v>
      </c>
      <c r="B39" s="16">
        <v>0.0</v>
      </c>
    </row>
    <row r="40">
      <c r="A40" s="1" t="s">
        <v>192</v>
      </c>
      <c r="B40" s="16">
        <v>0.782609</v>
      </c>
    </row>
    <row r="41">
      <c r="A41" s="1" t="s">
        <v>196</v>
      </c>
      <c r="B41" s="16">
        <v>0.14347825</v>
      </c>
    </row>
    <row r="42">
      <c r="A42" s="1" t="s">
        <v>200</v>
      </c>
      <c r="B42" s="16">
        <v>0.0</v>
      </c>
    </row>
    <row r="43">
      <c r="A43" s="1" t="s">
        <v>204</v>
      </c>
      <c r="B43" s="16">
        <v>0.41845237</v>
      </c>
    </row>
    <row r="44">
      <c r="A44" s="1" t="s">
        <v>208</v>
      </c>
      <c r="B44" s="16">
        <v>0.0</v>
      </c>
    </row>
    <row r="45">
      <c r="A45" s="1" t="s">
        <v>212</v>
      </c>
      <c r="B45" s="16">
        <v>0.5</v>
      </c>
    </row>
    <row r="46">
      <c r="A46" s="1" t="s">
        <v>216</v>
      </c>
      <c r="B46" s="16">
        <v>0.40518396</v>
      </c>
    </row>
    <row r="47">
      <c r="A47" s="1" t="s">
        <v>220</v>
      </c>
      <c r="B47" s="16">
        <v>0.4624638</v>
      </c>
    </row>
    <row r="48">
      <c r="A48" s="1" t="s">
        <v>224</v>
      </c>
      <c r="B48" s="16">
        <v>0.6788357</v>
      </c>
    </row>
    <row r="49">
      <c r="A49" s="1" t="s">
        <v>228</v>
      </c>
      <c r="B49" s="16">
        <v>0.3177551</v>
      </c>
    </row>
    <row r="50">
      <c r="A50" s="1" t="s">
        <v>232</v>
      </c>
      <c r="B50" s="16">
        <v>0.5</v>
      </c>
    </row>
    <row r="51">
      <c r="A51" s="1" t="s">
        <v>236</v>
      </c>
      <c r="B51" s="16">
        <v>0.9285715</v>
      </c>
    </row>
    <row r="52">
      <c r="A52" s="1" t="s">
        <v>240</v>
      </c>
      <c r="B52" s="16">
        <v>0.5345455</v>
      </c>
    </row>
    <row r="53">
      <c r="A53" s="1" t="s">
        <v>244</v>
      </c>
      <c r="B53" s="16">
        <v>0.40909091</v>
      </c>
    </row>
    <row r="54">
      <c r="A54" s="1" t="s">
        <v>248</v>
      </c>
      <c r="B54" s="16">
        <v>0.63095233</v>
      </c>
    </row>
    <row r="55">
      <c r="A55" s="1" t="s">
        <v>252</v>
      </c>
      <c r="B55" s="16">
        <v>0.39795914</v>
      </c>
    </row>
    <row r="56">
      <c r="A56" s="1" t="s">
        <v>256</v>
      </c>
      <c r="B56" s="16">
        <v>0.25465838</v>
      </c>
    </row>
    <row r="57">
      <c r="A57" s="1" t="s">
        <v>260</v>
      </c>
      <c r="B57" s="16">
        <v>0.0</v>
      </c>
    </row>
    <row r="58">
      <c r="A58" s="1" t="s">
        <v>264</v>
      </c>
      <c r="B58" s="16">
        <v>0.11111111</v>
      </c>
    </row>
    <row r="59">
      <c r="A59" s="1" t="s">
        <v>268</v>
      </c>
      <c r="B59" s="16">
        <v>0.15476184</v>
      </c>
    </row>
    <row r="60">
      <c r="A60" s="1" t="s">
        <v>272</v>
      </c>
      <c r="B60" s="16">
        <v>0.0</v>
      </c>
    </row>
    <row r="61">
      <c r="A61" s="1" t="s">
        <v>276</v>
      </c>
      <c r="B61" s="16">
        <v>0.459596</v>
      </c>
    </row>
    <row r="62">
      <c r="A62" s="1" t="s">
        <v>280</v>
      </c>
      <c r="B62" s="16">
        <v>0.53409091</v>
      </c>
    </row>
    <row r="63">
      <c r="A63" s="1" t="s">
        <v>284</v>
      </c>
      <c r="B63" s="16">
        <v>0.0</v>
      </c>
    </row>
    <row r="64">
      <c r="A64" s="1" t="s">
        <v>288</v>
      </c>
      <c r="B64" s="16">
        <v>0.189441</v>
      </c>
    </row>
    <row r="65">
      <c r="A65" s="1" t="s">
        <v>292</v>
      </c>
      <c r="B65" s="16">
        <v>0.81437473</v>
      </c>
    </row>
    <row r="66">
      <c r="A66" s="1" t="s">
        <v>296</v>
      </c>
      <c r="B66" s="16">
        <v>1.0</v>
      </c>
    </row>
    <row r="67">
      <c r="A67" s="1" t="s">
        <v>300</v>
      </c>
      <c r="B67" s="16">
        <v>0.5</v>
      </c>
    </row>
    <row r="68">
      <c r="A68" s="1" t="s">
        <v>304</v>
      </c>
      <c r="B68" s="16">
        <v>0.2047619</v>
      </c>
    </row>
    <row r="69">
      <c r="A69" s="1" t="s">
        <v>308</v>
      </c>
      <c r="B69" s="16">
        <v>0.24901191</v>
      </c>
    </row>
    <row r="70">
      <c r="A70" s="1" t="s">
        <v>312</v>
      </c>
      <c r="B70" s="16">
        <v>0.11607138</v>
      </c>
    </row>
    <row r="71">
      <c r="A71" s="1" t="s">
        <v>316</v>
      </c>
      <c r="B71" s="16">
        <v>0.48701307</v>
      </c>
    </row>
    <row r="72">
      <c r="A72" s="1" t="s">
        <v>320</v>
      </c>
      <c r="B72" s="16">
        <v>0.44318175</v>
      </c>
    </row>
    <row r="73">
      <c r="A73" s="1" t="s">
        <v>324</v>
      </c>
      <c r="B73" s="16">
        <v>0.5466667</v>
      </c>
    </row>
    <row r="74">
      <c r="A74" s="1" t="s">
        <v>328</v>
      </c>
      <c r="B74" s="16">
        <v>0.18357489</v>
      </c>
    </row>
    <row r="75">
      <c r="A75" s="1" t="s">
        <v>332</v>
      </c>
      <c r="B75" s="16">
        <v>0.50194326</v>
      </c>
    </row>
    <row r="76">
      <c r="A76" s="1" t="s">
        <v>336</v>
      </c>
      <c r="B76" s="16">
        <v>0.0</v>
      </c>
    </row>
    <row r="77">
      <c r="A77" s="1" t="s">
        <v>340</v>
      </c>
      <c r="B77" s="16">
        <v>0.53333335</v>
      </c>
    </row>
    <row r="78">
      <c r="A78" s="1" t="s">
        <v>344</v>
      </c>
      <c r="B78" s="16">
        <v>0.65306129</v>
      </c>
    </row>
    <row r="79">
      <c r="A79" s="1" t="s">
        <v>348</v>
      </c>
      <c r="B79" s="16">
        <v>0.83333333</v>
      </c>
    </row>
    <row r="80">
      <c r="A80" s="1" t="s">
        <v>352</v>
      </c>
      <c r="B80" s="16">
        <v>0.32095596</v>
      </c>
    </row>
    <row r="81">
      <c r="A81" s="1" t="s">
        <v>356</v>
      </c>
      <c r="B81" s="16">
        <v>1.0</v>
      </c>
    </row>
    <row r="82">
      <c r="A82" s="1" t="s">
        <v>360</v>
      </c>
      <c r="B82" s="16">
        <v>0.25</v>
      </c>
    </row>
    <row r="83">
      <c r="A83" s="1" t="s">
        <v>364</v>
      </c>
      <c r="B83" s="16">
        <v>0.43181825</v>
      </c>
    </row>
    <row r="84">
      <c r="A84" s="1" t="s">
        <v>368</v>
      </c>
      <c r="B84" s="16">
        <v>0.0</v>
      </c>
    </row>
    <row r="85">
      <c r="A85" s="1" t="s">
        <v>372</v>
      </c>
      <c r="B85" s="16">
        <v>0.2</v>
      </c>
    </row>
    <row r="86">
      <c r="A86" s="1" t="s">
        <v>376</v>
      </c>
      <c r="B86" s="16">
        <v>0.31991483</v>
      </c>
    </row>
    <row r="87">
      <c r="A87" s="1" t="s">
        <v>380</v>
      </c>
      <c r="B87" s="16">
        <v>0.63428571</v>
      </c>
    </row>
    <row r="88">
      <c r="A88" s="1" t="s">
        <v>384</v>
      </c>
      <c r="B88" s="16">
        <v>0.0</v>
      </c>
    </row>
    <row r="89">
      <c r="A89" s="1" t="s">
        <v>388</v>
      </c>
      <c r="B89" s="16">
        <v>0.0</v>
      </c>
    </row>
    <row r="90">
      <c r="A90" s="1" t="s">
        <v>392</v>
      </c>
      <c r="B90" s="16">
        <v>0.33766236</v>
      </c>
    </row>
    <row r="91">
      <c r="A91" s="1" t="s">
        <v>396</v>
      </c>
      <c r="B91" s="16">
        <v>0.44543642</v>
      </c>
    </row>
    <row r="92">
      <c r="A92" s="1" t="s">
        <v>400</v>
      </c>
      <c r="B92" s="16">
        <v>0.64557824</v>
      </c>
    </row>
    <row r="93">
      <c r="A93" s="1" t="s">
        <v>404</v>
      </c>
      <c r="B93" s="16">
        <v>0.19565225</v>
      </c>
    </row>
    <row r="94">
      <c r="A94" s="1" t="s">
        <v>408</v>
      </c>
      <c r="B94" s="16">
        <v>0.46666667</v>
      </c>
    </row>
    <row r="95">
      <c r="A95" s="1" t="s">
        <v>412</v>
      </c>
      <c r="B95" s="16">
        <v>0.44230775</v>
      </c>
    </row>
    <row r="96">
      <c r="A96" s="1" t="s">
        <v>416</v>
      </c>
      <c r="B96" s="16">
        <v>0.05142857</v>
      </c>
    </row>
    <row r="97">
      <c r="A97" s="1" t="s">
        <v>420</v>
      </c>
      <c r="B97" s="16">
        <v>0.80886244</v>
      </c>
    </row>
    <row r="98">
      <c r="A98" s="1" t="s">
        <v>424</v>
      </c>
      <c r="B98" s="16">
        <v>0.26</v>
      </c>
    </row>
    <row r="99">
      <c r="A99" s="1" t="s">
        <v>428</v>
      </c>
      <c r="B99" s="16">
        <v>0.4647273</v>
      </c>
    </row>
    <row r="100">
      <c r="A100" s="1" t="s">
        <v>432</v>
      </c>
      <c r="B100" s="16">
        <v>0.1714286</v>
      </c>
    </row>
    <row r="101">
      <c r="A101" s="1" t="s">
        <v>436</v>
      </c>
      <c r="B101" s="16">
        <v>0.5</v>
      </c>
    </row>
    <row r="102">
      <c r="A102" s="1" t="s">
        <v>440</v>
      </c>
      <c r="B102" s="16">
        <v>0.27229007</v>
      </c>
    </row>
    <row r="103">
      <c r="A103" s="1" t="s">
        <v>444</v>
      </c>
      <c r="B103" s="16">
        <v>0.45405983</v>
      </c>
    </row>
    <row r="104">
      <c r="A104" s="1" t="s">
        <v>448</v>
      </c>
      <c r="B104" s="16">
        <v>0.83392486</v>
      </c>
    </row>
    <row r="105">
      <c r="A105" s="1" t="s">
        <v>452</v>
      </c>
      <c r="B105" s="16">
        <v>0.43540981</v>
      </c>
    </row>
    <row r="106">
      <c r="A106" s="1" t="s">
        <v>456</v>
      </c>
      <c r="B106" s="16">
        <v>0.49802858</v>
      </c>
    </row>
    <row r="107">
      <c r="A107" s="1" t="s">
        <v>460</v>
      </c>
      <c r="B107" s="16">
        <v>0.4</v>
      </c>
    </row>
    <row r="108">
      <c r="A108" s="1" t="s">
        <v>464</v>
      </c>
      <c r="B108" s="16">
        <v>0.2</v>
      </c>
    </row>
    <row r="109">
      <c r="A109" s="1" t="s">
        <v>468</v>
      </c>
      <c r="B109" s="16">
        <v>0.79307572</v>
      </c>
    </row>
    <row r="110">
      <c r="A110" s="1" t="s">
        <v>472</v>
      </c>
      <c r="B110" s="16">
        <v>0.344389</v>
      </c>
    </row>
    <row r="111">
      <c r="A111" s="1" t="s">
        <v>476</v>
      </c>
      <c r="B111" s="16">
        <v>0.43318183</v>
      </c>
    </row>
    <row r="112">
      <c r="A112" s="1" t="s">
        <v>480</v>
      </c>
      <c r="B112" s="16">
        <v>0.40333333</v>
      </c>
    </row>
    <row r="113">
      <c r="A113" s="1" t="s">
        <v>484</v>
      </c>
      <c r="B113" s="16">
        <v>0.19565214</v>
      </c>
    </row>
    <row r="114">
      <c r="A114" s="1" t="s">
        <v>488</v>
      </c>
      <c r="B114" s="16">
        <v>0.04488077</v>
      </c>
    </row>
    <row r="115">
      <c r="A115" s="1" t="s">
        <v>492</v>
      </c>
      <c r="B115" s="16">
        <v>0.50448578</v>
      </c>
    </row>
    <row r="116">
      <c r="A116" s="1" t="s">
        <v>496</v>
      </c>
      <c r="B116" s="16">
        <v>0.628788</v>
      </c>
    </row>
    <row r="117">
      <c r="A117" s="1" t="s">
        <v>500</v>
      </c>
      <c r="B117" s="16">
        <v>0.3913045</v>
      </c>
    </row>
    <row r="118">
      <c r="A118" s="1" t="s">
        <v>504</v>
      </c>
      <c r="B118" s="16">
        <v>0.25</v>
      </c>
    </row>
    <row r="119">
      <c r="A119" s="1" t="s">
        <v>508</v>
      </c>
      <c r="B119" s="16">
        <v>0.0</v>
      </c>
    </row>
    <row r="120">
      <c r="A120" s="1" t="s">
        <v>512</v>
      </c>
      <c r="B120" s="16">
        <v>0.77161658</v>
      </c>
    </row>
    <row r="121">
      <c r="A121" s="1" t="s">
        <v>516</v>
      </c>
      <c r="B121" s="16">
        <v>0.0</v>
      </c>
    </row>
    <row r="122">
      <c r="A122" s="1" t="s">
        <v>520</v>
      </c>
      <c r="B122" s="16">
        <v>0.55661003</v>
      </c>
    </row>
    <row r="123">
      <c r="A123" s="1" t="s">
        <v>524</v>
      </c>
      <c r="B123" s="16">
        <v>0.659091</v>
      </c>
    </row>
    <row r="124">
      <c r="A124" s="1" t="s">
        <v>528</v>
      </c>
      <c r="B124" s="16">
        <v>0.84</v>
      </c>
    </row>
    <row r="125">
      <c r="A125" s="1" t="s">
        <v>532</v>
      </c>
      <c r="B125" s="16">
        <v>0.622449</v>
      </c>
    </row>
    <row r="126">
      <c r="A126" s="1" t="s">
        <v>536</v>
      </c>
      <c r="B126" s="16">
        <v>0.0</v>
      </c>
    </row>
    <row r="127">
      <c r="A127" s="1" t="s">
        <v>540</v>
      </c>
      <c r="B127" s="16">
        <v>0.2942279</v>
      </c>
    </row>
    <row r="128">
      <c r="A128" s="1" t="s">
        <v>544</v>
      </c>
      <c r="B128" s="16">
        <v>0.26984878</v>
      </c>
    </row>
    <row r="129">
      <c r="A129" s="1" t="s">
        <v>548</v>
      </c>
      <c r="B129" s="16">
        <v>0.31181324</v>
      </c>
    </row>
    <row r="130">
      <c r="A130" s="1" t="s">
        <v>552</v>
      </c>
      <c r="B130" s="16">
        <v>0.46703292</v>
      </c>
    </row>
    <row r="131">
      <c r="A131" s="1" t="s">
        <v>556</v>
      </c>
      <c r="B131" s="16">
        <v>0.0</v>
      </c>
    </row>
    <row r="132">
      <c r="A132" s="1" t="s">
        <v>560</v>
      </c>
      <c r="B132" s="16">
        <v>0.10204086</v>
      </c>
    </row>
  </sheetData>
  <drawing r:id="rId1"/>
</worksheet>
</file>