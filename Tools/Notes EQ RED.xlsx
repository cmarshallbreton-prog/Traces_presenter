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cap" sheetId="1" r:id="rId5"/>
    <sheet state="visible" name="Graphes" sheetId="2" r:id="rId6"/>
    <sheet state="visible" name="ACP" sheetId="3" r:id="rId7"/>
    <sheet state="hidden" name="ACP_Norm_Red" sheetId="4" r:id="rId8"/>
    <sheet state="hidden" name="ACP_Mat_Correl" sheetId="5" r:id="rId9"/>
    <sheet state="hidden" name="ACP_Results" sheetId="6" r:id="rId10"/>
    <sheet state="visible" name="Params" sheetId="7" r:id="rId11"/>
    <sheet state="visible" name="DriveImages" sheetId="8" r:id="rId12"/>
    <sheet state="visible" name="Notes" sheetId="9" r:id="rId13"/>
    <sheet state="visible" name="EQ" sheetId="10" r:id="rId14"/>
    <sheet state="visible" name="RED" sheetId="11" r:id="rId15"/>
    <sheet state="visible" name="Comp_Count" sheetId="12" r:id="rId16"/>
    <sheet state="visible" name="Sess_Count" sheetId="13" r:id="rId17"/>
    <sheet state="visible" name="Comp_FP_Ratio" sheetId="14" r:id="rId18"/>
    <sheet state="visible" name="Frac_Long" sheetId="15" r:id="rId19"/>
    <sheet state="visible" name="Mean_Test" sheetId="16" r:id="rId20"/>
    <sheet state="visible" name="Compile_Span" sheetId="17" r:id="rId21"/>
    <sheet state="visible" name="First_Compile" sheetId="18" r:id="rId22"/>
    <sheet state="visible" name="Last_Compile" sheetId="19" r:id="rId23"/>
    <sheet state="visible" name="Time_To_Score1" sheetId="20" r:id="rId24"/>
  </sheets>
  <definedNames>
    <definedName hidden="1" localSheetId="0" name="_xlnm._FilterDatabase">'Récap'!$A$1:$O$1000</definedName>
    <definedName hidden="1" localSheetId="5" name="_xlnm._FilterDatabase">ACP_Results!$L$1:$O$111</definedName>
  </definedNames>
  <calcPr/>
  <pivotCaches>
    <pivotCache cacheId="0" r:id="rId25"/>
  </pivotCaches>
</workbook>
</file>

<file path=xl/sharedStrings.xml><?xml version="1.0" encoding="utf-8"?>
<sst xmlns="http://schemas.openxmlformats.org/spreadsheetml/2006/main" count="2637" uniqueCount="978">
  <si>
    <t>SubjectID</t>
  </si>
  <si>
    <t>Notes</t>
  </si>
  <si>
    <t>Profil</t>
  </si>
  <si>
    <t>Catégorie</t>
  </si>
  <si>
    <t>EQ</t>
  </si>
  <si>
    <t>RED</t>
  </si>
  <si>
    <t>Comp_Count</t>
  </si>
  <si>
    <t>Sess_Count</t>
  </si>
  <si>
    <t>Comp_FP_Ratio</t>
  </si>
  <si>
    <t>Frac_Long</t>
  </si>
  <si>
    <t>Mean_Test</t>
  </si>
  <si>
    <t>First_Compile</t>
  </si>
  <si>
    <t>Compile_Span</t>
  </si>
  <si>
    <t>Last_Compile</t>
  </si>
  <si>
    <t>Time_To_Score1</t>
  </si>
  <si>
    <t>Nb_dec</t>
  </si>
  <si>
    <t>COUNTA de Frac_Long</t>
  </si>
  <si>
    <t>Variable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</si>
  <si>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</si>
  <si>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</si>
  <si>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</si>
  <si>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</si>
  <si>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</si>
  <si>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</si>
  <si>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</si>
  <si>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</si>
  <si>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</si>
  <si>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</si>
  <si>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</si>
  <si>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351cff49ce968bd6bb542470c3004131a5042932b5f2cb0e7ea8492770b77485</t>
  </si>
  <si>
    <t>cef23c3f251969f778435219b38afa60f2e41b3927e82fa6d43de8c59f93f883</t>
  </si>
  <si>
    <t>c547e37e3c5d2add9a3cb5fdeecfbc779e0ee9d6a7dbb489c799cc94e7b9abd2</t>
  </si>
  <si>
    <t>098d08de95d38eeec0842ad11e1e98d03c5afff456588f8ec0e9b2842aae39a3</t>
  </si>
  <si>
    <t>b2c90b16a2864cf16993f00192cdb13ee656ac6cd53f745acd473a25224cd05d</t>
  </si>
  <si>
    <t>6a91389bf293538f8bfd1747ffc38730176f9e72e8ed7004fabc8cd25e69df6b</t>
  </si>
  <si>
    <t>93a7aef5296e288f3a39f8c1c0dcb8935c9657f5c87378408e5d1910444e7c70</t>
  </si>
  <si>
    <t>76b0bf253c0d17b6f275cc641729eda42ebed851893da32c132515023ab1e4e1</t>
  </si>
  <si>
    <t>9323ada035535298a0de65f40698a45122446c861947978f1be17123ecf09a53</t>
  </si>
  <si>
    <t>bd41cbdc04707f80b319802470a1871b99d36766f9d020cc0f9a569a4d1bb54b</t>
  </si>
  <si>
    <t>5c075290e921279538ad0cbf9786e8855bd2c7f97a066c94d059d313cb34273b</t>
  </si>
  <si>
    <t>d9381190f981d16a88149206249465bb181ce58d6359562dea944f4d477363e3</t>
  </si>
  <si>
    <t>48f565383f47c6752893810686bd0c5f07fef08e34bc22a3f398d3b8c8db7c43</t>
  </si>
  <si>
    <t>ca1b7797566e850c3e583a2fbda610a51d5504ca9b0d611a0a3e2770c912d52d</t>
  </si>
  <si>
    <t>bee686e3fcc9f3886386d09a5bbd6f4779d852c8bb282b0b6185be70704d9207</t>
  </si>
  <si>
    <t>950ed53de307960251af3e387e595945da87494d2d2edf58b103f58f4ccfef78</t>
  </si>
  <si>
    <t>7ce2ef889fd3931ddf910c65e58e6b626f658d713486152c54f9f8a0e6f37375</t>
  </si>
  <si>
    <t>109c6e9ad83923fec425f5948621a620bad8efb25d507dbead8bcfa627bc55e6</t>
  </si>
  <si>
    <t>e3d00c0bcfea6e4a68c5c4842d0bedac5e761cfa5be62ec60aae839f44a7f555</t>
  </si>
  <si>
    <t>091dc109aa58c7a670f4b61bc23df548fec73c05c7582dfb7c51f3a925d3618f</t>
  </si>
  <si>
    <t>7854ad4022596904b137ebbb044e0bbbd2f590b0dac7f5a46d9991f3c049d647</t>
  </si>
  <si>
    <t>95e604186e18386f749a6d26e0868477c65803267b7c4d7bf606f77b8bbe1da4</t>
  </si>
  <si>
    <t>fcf731e2be9a1377e7aed9c84be49e59ff2b3595fd86235d37d58011462b8fcf</t>
  </si>
  <si>
    <t>d981675479ab443031cba32f40c3dca9e031547c59346a4c0ea7c624c054d936</t>
  </si>
  <si>
    <t>ad1624c5c3a02a3a3b3dcb044b912998b64ca2e7cd54abe79476f86a41a3234b</t>
  </si>
  <si>
    <t>8c496c831c776415f7491e6de8457bb88c62eefeff270c8e0dbec39b78b9413d</t>
  </si>
  <si>
    <t>5e8589d4cd67c4b88f84e378d72875ccd07de5c9e20cc666bbf217de9d3567b4</t>
  </si>
  <si>
    <t>5d60fc4768a0d01e3d533d2d5353bdffb58877bc2971bc7053a54071fa4c2f49</t>
  </si>
  <si>
    <t>8630de5bd303be8b63ba99b787f0f5ed4422765c8917b234cb8a2af6b762ca1d</t>
  </si>
  <si>
    <t>88faa9b4e525ea83f6efab60ae88469da5222f0b0f52c16c3af4e4763baa1daf</t>
  </si>
  <si>
    <t>fa7805c1d46ef49851de43750a665a993eef750b560159967106d3b96821759c</t>
  </si>
  <si>
    <t>080e819b7f2ec7fdf5df10abc0092a6ae39db49584244ea555a9ce18c8d57c53</t>
  </si>
  <si>
    <t>effa5fafd71a87510e477792561dc4c6a0d7a624d93f5ee78db77ac7c2a41d63</t>
  </si>
  <si>
    <t>eefcecf5c7183df8d369a35df238dd9fd990564264dcadc7bafacbafbef888ac</t>
  </si>
  <si>
    <t>23d73ca299f02110f10fe0b18902fd2ea5ad124d3a061f110083353b3899c369</t>
  </si>
  <si>
    <t>753b3dfbf00b265816877af61db67c39ee3fae2b4e0a7b8f387b5163ff85b1bc</t>
  </si>
  <si>
    <t>bd7739509fa70c858197ea24926c2c696b797f60240eac8fe389b1d67ce663be</t>
  </si>
  <si>
    <t>cf13a4b65841c7dceb8412708517c5be0cdedb328ac511655c4a95ee813d548b</t>
  </si>
  <si>
    <t>53b87d41de61b0eb5ef6562222f1f3bcd5b5ce1da053e57f47b6ed23d7aa8502</t>
  </si>
  <si>
    <t>d24b87329bb09b449a89676a4e96858c289cdfad521c03fb9ce166a83aceb603</t>
  </si>
  <si>
    <t>0973288c77f97c9245c444f90526bc6137bc40b48200197fd5bb6134f618f165</t>
  </si>
  <si>
    <t>9181e670a018653889d5263448f199379588274b90c51348445093423b56396b</t>
  </si>
  <si>
    <t>0ff8e00eabc873cbfaa0832c3aa0e4a4b03e6f72593a71ecf7e5b2e4d0c82e06</t>
  </si>
  <si>
    <t>fe48d6db483ac4bd61b017d826272e803a5ba40fca9dcc14ce181a1331e1fa18</t>
  </si>
  <si>
    <t>c8d01afd1e4a742fb48896441f92f6f4f1c21f02b0059b58f21e1c6efb099eb2</t>
  </si>
  <si>
    <t>d3f0d126711eb978e948a2cbeb9c2b2b0ffa79541fe717c41575d91f5e21aa61</t>
  </si>
  <si>
    <t>f8461dec16e4e6cc62d1cadd424373bdf634bdc01764d3df74cd9fff9658baff</t>
  </si>
  <si>
    <t>4557b3c2bc31d36048e3c48befc7212d35b7d0d885d3d1f102c9060238b5090a</t>
  </si>
  <si>
    <t>33d11b837cec96010145671e6661210fd68f3004627f8929038256ca7a8d8ebf</t>
  </si>
  <si>
    <t>60dc13afd9db46855db7cb4b46b2429c473ae61d93c867bb13914cc0ee137a78</t>
  </si>
  <si>
    <t>0685c8001a43b03e0a155e1afa0c7bec2f4e82d24f7ce4843b25a441c45dd335</t>
  </si>
  <si>
    <t>6d7f68c6bb26c8342bf3a3e21bb30c4a24aa6ccd9d3319af32684e6641052dcd</t>
  </si>
  <si>
    <t>6b6e8c7036722d03a34126403e7106d3512a2d4b72bcd8bde651614e8ad42d7b</t>
  </si>
  <si>
    <t>aeff5cdc8c731a2b16beb6f260aeeca455401bc2ddb229aa87a464475f95b1ca</t>
  </si>
  <si>
    <t>69ea8e8a316c3f982db0286a71ca33c251b858994e27bb848e628967df9d15f9</t>
  </si>
  <si>
    <t>a000fa4903a3a8290435e1735ea6773bf2f2a14d1b5e564b6ab0e060b8e38688</t>
  </si>
  <si>
    <t>89b998636f98304acf1f5a475b5fad130ac8020d521969a48412173d2ac0971f</t>
  </si>
  <si>
    <t>23e416c6f9deb987ac8f8f136e8551133ba63c734122e2f82eaeec72b03bad9e</t>
  </si>
  <si>
    <t>349cf265b30475874348c4e1b4520dc39d2668fe73f446cde11ed834aef06f6d</t>
  </si>
  <si>
    <t>48002b47ecdcaeb4828400130c7d77959319f9ae612dfbd03a91f7422c093ac7</t>
  </si>
  <si>
    <t>f837bce807410ac6f8b52fcee81a1ffaa2d7f77755861f2e6f2b482bff0f6fe9</t>
  </si>
  <si>
    <t>d87811d4a1e9ba86c382fda19de6f7d1ad04b42f8c0dceeb81cd7cafc1008ed8</t>
  </si>
  <si>
    <t>95944dae06f4e15b8e63e41064092bc51db9f568df5abcdb866112b0a58a759a</t>
  </si>
  <si>
    <t>ea47fdcc277117bd663900f36ab09bad41ea1af083ccbc63647b5838e1056ebc</t>
  </si>
  <si>
    <t>bfe01fd74f4a333b18002bc2d02ce800bee2e244cc59a5156ca3fcc5a0cdce00</t>
  </si>
  <si>
    <t>345dad5114b3cd453211fb2463b2677b927fb8bed5528f041e0451dfd0f2dca2</t>
  </si>
  <si>
    <t>22d436278c2d2678362e2b3102b5bfa9227eecad30f599801b730e0cc7acd1c6</t>
  </si>
  <si>
    <t>2a9dda5adde456cb4c1ec3735fde1d4591c3b0780ef3d82b8c7fed613382e82f</t>
  </si>
  <si>
    <t>aa3e744d9ea1bfef5bac5c29b695be41bbe453b6bf59bb5ff04d04fe3ddb9b7e</t>
  </si>
  <si>
    <t>e4380b18857e28837873b807b4ee2bee2e199a3536f56fb56fb5949de4c17a77</t>
  </si>
  <si>
    <t>cbdbb864a7b15c5903aa09adff018a3d184f25c250b86926a5bc3fd9d9169037</t>
  </si>
  <si>
    <t>4082ac64b81101cbebcabd3b8b597bf7966896898674d507e118e3c0367ac800</t>
  </si>
  <si>
    <t>f1adcb66d665ecba393da1490aca01e322bebd658ae2ef41aadee9ec7106def2</t>
  </si>
  <si>
    <t>7026047c5e9f18234ed92d0bc1518a2a4944fc2a9a0bb90628e20b2d93e7f9ae</t>
  </si>
  <si>
    <t>c38594bec27d288cfe5bd031cde0cff4c46de188336f74ff3f79854c88c65b00</t>
  </si>
  <si>
    <t>4d1ccd3b1393438168aeac88ee6d753d95c33c77fcc46afa13a5415a265323c2</t>
  </si>
  <si>
    <t>de14d69ecb05cea275dcf6a7cb707626315f3e81931958d7d7b15131368cf4d6</t>
  </si>
  <si>
    <t>f421319a6d338f4c75d9ce493c2ab35aa31da5115a045fb9149446903d5f1141</t>
  </si>
  <si>
    <t>db2e162c7c1734ed5a58abc1706b9efbbdadbd2ba5f77bea6911a1aabd5e0831</t>
  </si>
  <si>
    <t>570df8c7a9f77bb2889ba29eb35271e4e2340fd1709d075882800ac637643e15</t>
  </si>
  <si>
    <t>cec0a384f41fb2446aff0043657c7e32479dd58e701084dde0bcc28f161aa2b1</t>
  </si>
  <si>
    <t>2f002333e3ee078069a370adede771895a413b747a8039cfe1f8b6d5f579fcc5</t>
  </si>
  <si>
    <t>125ae2e6409e498cf96017e4f7168a1612ea2f181a0ea99530cfafb7b3a64807</t>
  </si>
  <si>
    <t>a35833a67176bfc8c1457633e2e41ffb5e4bf6aac7127377e8b9881caf1cf52e</t>
  </si>
  <si>
    <t>6dd7cb5359f54edb9eb0becd33d19118d3e93e266ef7644cf7b9ad2b9ed1262d</t>
  </si>
  <si>
    <t>f8dac969c272aabb2ba0adebac1b711f0f174a8288053069be5391c65bb027c3</t>
  </si>
  <si>
    <t>453482ae02a485dd6eda2426eae4181835e1451a36229f550d4efb9d8a7a9470</t>
  </si>
  <si>
    <t>275839578ec60b5084d5e18fccb01310e9f1b78293cad00bec043945e0f3e629</t>
  </si>
  <si>
    <t>73da0df025bd69a83446ff2c9628a7f2f1ff34bff9e343059e17e4d31a6218d3</t>
  </si>
  <si>
    <t>438f91a3a02080977006d5b4ee2c29f6e0d0b58e848dc92712f3982a1449f481</t>
  </si>
  <si>
    <t>b2739ffce4a91e9880373035f1a135a3772577ebe8a9e985482de17ccedccefd</t>
  </si>
  <si>
    <t>322817f4854f2f71b85db9d2e7c04e4a44c91ea866c689f277a658abc7d22b12</t>
  </si>
  <si>
    <t>8dd7d47134248a03ffb88fe97e5ab8501d976a5d539ff01c30727b79ede1424f</t>
  </si>
  <si>
    <t>40c1d250c97702986524dae1c4014dbac4abddab4fbfd395737f4e2fe64a247d</t>
  </si>
  <si>
    <t>d46637522853433efdf1806e2e5336c312d5ba0ff0a32b80468e96b8abf11c04</t>
  </si>
  <si>
    <t>bb0c30cc3cd79a7b954b6a58338b43ab5c258562b868a12e26fa432eed432da9</t>
  </si>
  <si>
    <t>fcc829e7dd1db87335c46064982f06853c8a5c39399202b284952458b04f0d5d</t>
  </si>
  <si>
    <t>7018f9f84b61c5801779302689a34fef5b2e9d95f52479d9ef486efda2e55c21</t>
  </si>
  <si>
    <t>86d73054aa9c80dbfbfce326489454f67087052ce0720f75ec87b849d851ce2b</t>
  </si>
  <si>
    <t>8535ef1089f557f019e2fa787114fa1819dadf2106ea8f0b82f86e57f914ea2d</t>
  </si>
  <si>
    <t>3d85bc081b5cbae4e23792cd67c1c0fd9af811e86418a20d777c3fbe812ba910</t>
  </si>
  <si>
    <t>a1a57315af0421443e73ff39f4cc4afaabfb05e5c435fafd3504fd91ab223453</t>
  </si>
  <si>
    <t>aff3f9448ca917cc6f9b0fa8f92a2dadcee4f890337259421ce866e71ff22c49</t>
  </si>
  <si>
    <t>78cb6709ef3e4aa9ec5148bce49e841e9a6257b64dff512fdffde18f1e1fcd14</t>
  </si>
  <si>
    <t>519b74a02a32927ee8af772a01038d36736eb2aaeb604f8a15719710d72ccc04</t>
  </si>
  <si>
    <t>6b689d246c11ea35bf66a151aa4d7d83d1e1b11f9f3a3876c5d609048ea310f8</t>
  </si>
  <si>
    <t>155464e7a35faffd6b3b4f2e6b757098204e8a24221641b58ee8156acfd2e1fc</t>
  </si>
  <si>
    <t>a1437f4d7c5982c950cc3bb1cfab162aa1470eb7263b45d865b404015088558b</t>
  </si>
  <si>
    <t>4225b96eae6636e51ed4b87746263b9e5d0e927d67326324fbf1544230fa6fb8</t>
  </si>
  <si>
    <t>Haut PC1</t>
  </si>
  <si>
    <t>Haut PC2</t>
  </si>
  <si>
    <t>POIDS</t>
  </si>
  <si>
    <t>Bas PC1</t>
  </si>
  <si>
    <t>Bas PC2</t>
  </si>
  <si>
    <t>VAR_PC_Cor</t>
  </si>
  <si>
    <t>PC</t>
  </si>
  <si>
    <t>eigenvalue</t>
  </si>
  <si>
    <t>explained_%</t>
  </si>
  <si>
    <t>cumulative_%</t>
  </si>
  <si>
    <t>Q1</t>
  </si>
  <si>
    <t>Q2</t>
  </si>
  <si>
    <t>Q3</t>
  </si>
  <si>
    <t>Q4</t>
  </si>
  <si>
    <t>Règle</t>
  </si>
  <si>
    <t>Description</t>
  </si>
  <si>
    <t>Count</t>
  </si>
  <si>
    <t>Peu actif</t>
  </si>
  <si>
    <t>Comp_Count ≤ Q1 ET Sess_Count ≤ Q1</t>
  </si>
  <si>
    <t>Peu de compilations et peu de sessions (activité faible)</t>
  </si>
  <si>
    <t>Efficace</t>
  </si>
  <si>
    <t>Comp_FP_Ratio ≥ Q3 ET EQ ≤ Q1 ET RED ≤ Q1</t>
  </si>
  <si>
    <t>Bon taux de réussite, peu d’erreurs et peu de répétitions.</t>
  </si>
  <si>
    <t>Bloqué</t>
  </si>
  <si>
    <t>RED ≥ Q3 ET (Comp_FP_Ratio ≤ Q2 OU EQ ≥ Q3)</t>
  </si>
  <si>
    <t>Beaucoup d’erreurs répétées, réussite faible/moyenne.</t>
  </si>
  <si>
    <t>Persévérant</t>
  </si>
  <si>
    <t>(Comp_Count ≥ Q3 OU Sess_Count ≥ Q3) ET Comp_FP_Ratio ≤ Q2</t>
  </si>
  <si>
    <t>Beaucoup d’essais/sessions, mais réussite faible/moyenne.</t>
  </si>
  <si>
    <t>Sporadique</t>
  </si>
  <si>
    <t>Frac_Long ≥ Q3 ET (Comp_Count ≤ Q2 OU Sess_Count ≤ Q2)</t>
  </si>
  <si>
    <t>Activité irrégulière, compilations souvent espacées (pauses longues).</t>
  </si>
  <si>
    <t>Intermédiaire</t>
  </si>
  <si>
    <t>Sinon</t>
  </si>
  <si>
    <t>Profil moyen</t>
  </si>
  <si>
    <t>student_id</t>
  </si>
  <si>
    <t>file_id</t>
  </si>
  <si>
    <t>image_url</t>
  </si>
  <si>
    <t>filename</t>
  </si>
  <si>
    <t>1sqxqnWOgA9xGrBD_KPn0FgabZKt4e_sz</t>
  </si>
  <si>
    <t>https://drive.google.com/uc?export=view&amp;id=1sqxqnWOgA9xGrBD_KPn0FgabZKt4e_sz</t>
  </si>
  <si>
    <t>0685c8001a43b03e0a155e1afa0c7bec2f4e82d24f7ce4843b25a441c45dd335.png</t>
  </si>
  <si>
    <t>07445b2803cfbba249af9f27deaabc1c2aa5fd49745cd11637d45d1e8f939c2b</t>
  </si>
  <si>
    <t>1mQzUxNKLRJqIuVE3cBUo7q9u66CQ8yyb</t>
  </si>
  <si>
    <t>https://drive.google.com/uc?export=view&amp;id=1mQzUxNKLRJqIuVE3cBUo7q9u66CQ8yyb</t>
  </si>
  <si>
    <t>07445b2803cfbba249af9f27deaabc1c2aa5fd49745cd11637d45d1e8f939c2b.png</t>
  </si>
  <si>
    <t>1gd-7RXch1_OvHkd-pK3FzzlzLMWII7wb</t>
  </si>
  <si>
    <t>https://drive.google.com/uc?export=view&amp;id=1gd-7RXch1_OvHkd-pK3FzzlzLMWII7wb</t>
  </si>
  <si>
    <t>080e819b7f2ec7fdf5df10abc0092a6ae39db49584244ea555a9ce18c8d57c53.png</t>
  </si>
  <si>
    <t>11RCN-6hGf4HEGM_ct7C7coTvx7HjYy5h</t>
  </si>
  <si>
    <t>https://drive.google.com/uc?export=view&amp;id=11RCN-6hGf4HEGM_ct7C7coTvx7HjYy5h</t>
  </si>
  <si>
    <t>091dc109aa58c7a670f4b61bc23df548fec73c05c7582dfb7c51f3a925d3618f.png</t>
  </si>
  <si>
    <t>1qsP1dapjN-fUFeFbQ4phtLJm59XKyZSa</t>
  </si>
  <si>
    <t>https://drive.google.com/uc?export=view&amp;id=1qsP1dapjN-fUFeFbQ4phtLJm59XKyZSa</t>
  </si>
  <si>
    <t>0973288c77f97c9245c444f90526bc6137bc40b48200197fd5bb6134f618f165.png</t>
  </si>
  <si>
    <t>1S3ZbvfZsseq_zIOlCYdGvD29lZfP8LC1</t>
  </si>
  <si>
    <t>https://drive.google.com/uc?export=view&amp;id=1S3ZbvfZsseq_zIOlCYdGvD29lZfP8LC1</t>
  </si>
  <si>
    <t>098d08de95d38eeec0842ad11e1e98d03c5afff456588f8ec0e9b2842aae39a3.png</t>
  </si>
  <si>
    <t>1ySMzrJYrKLb_oksDVTc1C6xFUbkBVOWd</t>
  </si>
  <si>
    <t>https://drive.google.com/uc?export=view&amp;id=1ySMzrJYrKLb_oksDVTc1C6xFUbkBVOWd</t>
  </si>
  <si>
    <t>0ff8e00eabc873cbfaa0832c3aa0e4a4b03e6f72593a71ecf7e5b2e4d0c82e06.png</t>
  </si>
  <si>
    <t>1a01hhWvjKuwD2x7iaTm5qc5HYefFgExu</t>
  </si>
  <si>
    <t>https://drive.google.com/uc?export=view&amp;id=1a01hhWvjKuwD2x7iaTm5qc5HYefFgExu</t>
  </si>
  <si>
    <t>109c6e9ad83923fec425f5948621a620bad8efb25d507dbead8bcfa627bc55e6.png</t>
  </si>
  <si>
    <t>1CPZUsUfkqkXiirbd0qxkTlaKBWSVtfuD</t>
  </si>
  <si>
    <t>https://drive.google.com/uc?export=view&amp;id=1CPZUsUfkqkXiirbd0qxkTlaKBWSVtfuD</t>
  </si>
  <si>
    <t>125ae2e6409e498cf96017e4f7168a1612ea2f181a0ea99530cfafb7b3a64807.png</t>
  </si>
  <si>
    <t>13b34a353ac9ea6554f0bfc998b55f394ed800dfc03b32dc37d311d2551a5749</t>
  </si>
  <si>
    <t>1AnmwvJ-MlOSJeUWbNoxheVtFxTpSig8v</t>
  </si>
  <si>
    <t>https://drive.google.com/uc?export=view&amp;id=1AnmwvJ-MlOSJeUWbNoxheVtFxTpSig8v</t>
  </si>
  <si>
    <t>13b34a353ac9ea6554f0bfc998b55f394ed800dfc03b32dc37d311d2551a5749.png</t>
  </si>
  <si>
    <t>1VQkWbGoDtVwfSjgSid6KysDJ0WS6qX1q</t>
  </si>
  <si>
    <t>https://drive.google.com/uc?export=view&amp;id=1VQkWbGoDtVwfSjgSid6KysDJ0WS6qX1q</t>
  </si>
  <si>
    <t>155464e7a35faffd6b3b4f2e6b757098204e8a24221641b58ee8156acfd2e1fc.png</t>
  </si>
  <si>
    <t>1e07cd29e230f3661645dcb909fda7759b80e0adf98716a5b82e22aa93a8223c</t>
  </si>
  <si>
    <t>1XG9Y_vhZ8dfJjVRTzJkR4T1t2-OBWp6z</t>
  </si>
  <si>
    <t>https://drive.google.com/uc?export=view&amp;id=1XG9Y_vhZ8dfJjVRTzJkR4T1t2-OBWp6z</t>
  </si>
  <si>
    <t>1e07cd29e230f3661645dcb909fda7759b80e0adf98716a5b82e22aa93a8223c.png</t>
  </si>
  <si>
    <t>1fa47ac7759a6ce7a6345af6515630bf1b0493c63c56c65ec1867dd8e850486c</t>
  </si>
  <si>
    <t>10_wKn7e2W2rSFVjPyMqCRwB5NwCGArCX</t>
  </si>
  <si>
    <t>https://drive.google.com/uc?export=view&amp;id=10_wKn7e2W2rSFVjPyMqCRwB5NwCGArCX</t>
  </si>
  <si>
    <t>1fa47ac7759a6ce7a6345af6515630bf1b0493c63c56c65ec1867dd8e850486c.png</t>
  </si>
  <si>
    <t>1kLhHhAEVsaNyDWLI8-TIdFpBxf8alHnq</t>
  </si>
  <si>
    <t>https://drive.google.com/uc?export=view&amp;id=1kLhHhAEVsaNyDWLI8-TIdFpBxf8alHnq</t>
  </si>
  <si>
    <t>22d436278c2d2678362e2b3102b5bfa9227eecad30f599801b730e0cc7acd1c6.png</t>
  </si>
  <si>
    <t>1Ora42oQeqLNaKmQYAyoyT9JzVzNvA2rw</t>
  </si>
  <si>
    <t>https://drive.google.com/uc?export=view&amp;id=1Ora42oQeqLNaKmQYAyoyT9JzVzNvA2rw</t>
  </si>
  <si>
    <t>23d73ca299f02110f10fe0b18902fd2ea5ad124d3a061f110083353b3899c369.png</t>
  </si>
  <si>
    <t>1sE8VnB4wfIBeDUzJe64rSZ2Cc4frwYje</t>
  </si>
  <si>
    <t>https://drive.google.com/uc?export=view&amp;id=1sE8VnB4wfIBeDUzJe64rSZ2Cc4frwYje</t>
  </si>
  <si>
    <t>23e416c6f9deb987ac8f8f136e8551133ba63c734122e2f82eaeec72b03bad9e.png</t>
  </si>
  <si>
    <t>1poUyOxCa1XHz3bTp_wJ8ean8DWsozfq2</t>
  </si>
  <si>
    <t>https://drive.google.com/uc?export=view&amp;id=1poUyOxCa1XHz3bTp_wJ8ean8DWsozfq2</t>
  </si>
  <si>
    <t>275839578ec60b5084d5e18fccb01310e9f1b78293cad00bec043945e0f3e629.png</t>
  </si>
  <si>
    <t>1S4ZDsbNQVPEouk9hQ77am7X4TK8WvTpo</t>
  </si>
  <si>
    <t>https://drive.google.com/uc?export=view&amp;id=1S4ZDsbNQVPEouk9hQ77am7X4TK8WvTpo</t>
  </si>
  <si>
    <t>2a9dda5adde456cb4c1ec3735fde1d4591c3b0780ef3d82b8c7fed613382e82f.png</t>
  </si>
  <si>
    <t>2b2ac07813fde25641019289246d80a85054b31d93cd9dd4d8f4a3e717a017e1</t>
  </si>
  <si>
    <t>1ObwCQOYT1i0ZAwHaeevv91bgqr5Tnfg-</t>
  </si>
  <si>
    <t>https://drive.google.com/uc?export=view&amp;id=1ObwCQOYT1i0ZAwHaeevv91bgqr5Tnfg-</t>
  </si>
  <si>
    <t>2b2ac07813fde25641019289246d80a85054b31d93cd9dd4d8f4a3e717a017e1.png</t>
  </si>
  <si>
    <t>144AJqTuMMv0ZKkig6o_ZIYpFg8LOuj0e</t>
  </si>
  <si>
    <t>https://drive.google.com/uc?export=view&amp;id=144AJqTuMMv0ZKkig6o_ZIYpFg8LOuj0e</t>
  </si>
  <si>
    <t>2f002333e3ee078069a370adede771895a413b747a8039cfe1f8b6d5f579fcc5.png</t>
  </si>
  <si>
    <t>1r6fTNtFvRptovcIH_T05QD_kSo7PHoUB</t>
  </si>
  <si>
    <t>https://drive.google.com/uc?export=view&amp;id=1r6fTNtFvRptovcIH_T05QD_kSo7PHoUB</t>
  </si>
  <si>
    <t>322817f4854f2f71b85db9d2e7c04e4a44c91ea866c689f277a658abc7d22b12.png</t>
  </si>
  <si>
    <t>1Z4DIsPVzsVnApF2scNzN8DPqpN1MfTI3</t>
  </si>
  <si>
    <t>https://drive.google.com/uc?export=view&amp;id=1Z4DIsPVzsVnApF2scNzN8DPqpN1MfTI3</t>
  </si>
  <si>
    <t>33d11b837cec96010145671e6661210fd68f3004627f8929038256ca7a8d8ebf.png</t>
  </si>
  <si>
    <t>1rVVzscQ4uR7h1vj5LsSX0k6UWmcpZvJx</t>
  </si>
  <si>
    <t>https://drive.google.com/uc?export=view&amp;id=1rVVzscQ4uR7h1vj5LsSX0k6UWmcpZvJx</t>
  </si>
  <si>
    <t>345dad5114b3cd453211fb2463b2677b927fb8bed5528f041e0451dfd0f2dca2.png</t>
  </si>
  <si>
    <t>1dzXAtkCKzRhScU7sPg31ATEeip_3pFQD</t>
  </si>
  <si>
    <t>https://drive.google.com/uc?export=view&amp;id=1dzXAtkCKzRhScU7sPg31ATEeip_3pFQD</t>
  </si>
  <si>
    <t>349cf265b30475874348c4e1b4520dc39d2668fe73f446cde11ed834aef06f6d.png</t>
  </si>
  <si>
    <t>1ihKteDW_BL-vTqx9j_r_iJ1dQiwf1fth</t>
  </si>
  <si>
    <t>https://drive.google.com/uc?export=view&amp;id=1ihKteDW_BL-vTqx9j_r_iJ1dQiwf1fth</t>
  </si>
  <si>
    <t>351cff49ce968bd6bb542470c3004131a5042932b5f2cb0e7ea8492770b77485.png</t>
  </si>
  <si>
    <t>3c6c8b8647f1b51ec51557e9916c655923e73b1b0b8de099f40db81460e78611</t>
  </si>
  <si>
    <t>1LD8hExy8sh2GKLZzwzxMhCm6fNLF0Mm9</t>
  </si>
  <si>
    <t>https://drive.google.com/uc?export=view&amp;id=1LD8hExy8sh2GKLZzwzxMhCm6fNLF0Mm9</t>
  </si>
  <si>
    <t>3c6c8b8647f1b51ec51557e9916c655923e73b1b0b8de099f40db81460e78611.png</t>
  </si>
  <si>
    <t>1vpczQ1s_q5qk6jstHxFCSRctjJPmK1dt</t>
  </si>
  <si>
    <t>https://drive.google.com/uc?export=view&amp;id=1vpczQ1s_q5qk6jstHxFCSRctjJPmK1dt</t>
  </si>
  <si>
    <t>3d85bc081b5cbae4e23792cd67c1c0fd9af811e86418a20d777c3fbe812ba910.png</t>
  </si>
  <si>
    <t>1_HJYcYRx_KlTTKC-NIq-gg2b_VPp2e0h</t>
  </si>
  <si>
    <t>https://drive.google.com/uc?export=view&amp;id=1_HJYcYRx_KlTTKC-NIq-gg2b_VPp2e0h</t>
  </si>
  <si>
    <t>4082ac64b81101cbebcabd3b8b597bf7966896898674d507e118e3c0367ac800.png</t>
  </si>
  <si>
    <t>1ja8oi67QySbQ4FLFohsXiSwauivGpqro</t>
  </si>
  <si>
    <t>https://drive.google.com/uc?export=view&amp;id=1ja8oi67QySbQ4FLFohsXiSwauivGpqro</t>
  </si>
  <si>
    <t>40c1d250c97702986524dae1c4014dbac4abddab4fbfd395737f4e2fe64a247d.png</t>
  </si>
  <si>
    <t>1FqHI3Fq25wkts8Z4WtJCdNTLMhtr0Lnu</t>
  </si>
  <si>
    <t>https://drive.google.com/uc?export=view&amp;id=1FqHI3Fq25wkts8Z4WtJCdNTLMhtr0Lnu</t>
  </si>
  <si>
    <t>4225b96eae6636e51ed4b87746263b9e5d0e927d67326324fbf1544230fa6fb8.png</t>
  </si>
  <si>
    <t>10n7uGJKsxa7H38YTGZbMaGPJLLB1KnUg</t>
  </si>
  <si>
    <t>https://drive.google.com/uc?export=view&amp;id=10n7uGJKsxa7H38YTGZbMaGPJLLB1KnUg</t>
  </si>
  <si>
    <t>438f91a3a02080977006d5b4ee2c29f6e0d0b58e848dc92712f3982a1449f481.png</t>
  </si>
  <si>
    <t>445c2ca905d33514cd3757e1141d0239349ca6678c20cd5eedab38fbe2fd36f9</t>
  </si>
  <si>
    <t>1Sd5yz_i_HruDxUoeK0cKmkHGQWQ9MaSe</t>
  </si>
  <si>
    <t>https://drive.google.com/uc?export=view&amp;id=1Sd5yz_i_HruDxUoeK0cKmkHGQWQ9MaSe</t>
  </si>
  <si>
    <t>445c2ca905d33514cd3757e1141d0239349ca6678c20cd5eedab38fbe2fd36f9.png</t>
  </si>
  <si>
    <t>1-wmBBtdLSFewLnjp5Llf4TlVViqUSIu8</t>
  </si>
  <si>
    <t>https://drive.google.com/uc?export=view&amp;id=1-wmBBtdLSFewLnjp5Llf4TlVViqUSIu8</t>
  </si>
  <si>
    <t>453482ae02a485dd6eda2426eae4181835e1451a36229f550d4efb9d8a7a9470.png</t>
  </si>
  <si>
    <t>1Kscqr5nCPSEQRRULICFx3A9qxuG_41NW</t>
  </si>
  <si>
    <t>https://drive.google.com/uc?export=view&amp;id=1Kscqr5nCPSEQRRULICFx3A9qxuG_41NW</t>
  </si>
  <si>
    <t>4557b3c2bc31d36048e3c48befc7212d35b7d0d885d3d1f102c9060238b5090a.png</t>
  </si>
  <si>
    <t>1nxwPD6l19H9RfD1beYZagQq6RADqS3hg</t>
  </si>
  <si>
    <t>https://drive.google.com/uc?export=view&amp;id=1nxwPD6l19H9RfD1beYZagQq6RADqS3hg</t>
  </si>
  <si>
    <t>48002b47ecdcaeb4828400130c7d77959319f9ae612dfbd03a91f7422c093ac7.png</t>
  </si>
  <si>
    <t>14xCI4jAQbPhylo07sHgW9d88P3mmmfAq</t>
  </si>
  <si>
    <t>https://drive.google.com/uc?export=view&amp;id=14xCI4jAQbPhylo07sHgW9d88P3mmmfAq</t>
  </si>
  <si>
    <t>48f565383f47c6752893810686bd0c5f07fef08e34bc22a3f398d3b8c8db7c43.png</t>
  </si>
  <si>
    <t>1-YWQEw-ntfurCrSZ4yEJEYBolKn2c3Yp</t>
  </si>
  <si>
    <t>https://drive.google.com/uc?export=view&amp;id=1-YWQEw-ntfurCrSZ4yEJEYBolKn2c3Yp</t>
  </si>
  <si>
    <t>4d1ccd3b1393438168aeac88ee6d753d95c33c77fcc46afa13a5415a265323c2.png</t>
  </si>
  <si>
    <t>4ed6af94d2babfb73aae073691a59e8e6a1beb6bfaf77b75dac470cfc3b33199</t>
  </si>
  <si>
    <t>1SgSDsUM_bSFsvK6JNJ2IU_rXxNOXvQrk</t>
  </si>
  <si>
    <t>https://drive.google.com/uc?export=view&amp;id=1SgSDsUM_bSFsvK6JNJ2IU_rXxNOXvQrk</t>
  </si>
  <si>
    <t>4ed6af94d2babfb73aae073691a59e8e6a1beb6bfaf77b75dac470cfc3b33199.png</t>
  </si>
  <si>
    <t>4f803c4f3466d829bc74ad7bf98f1767adad548d1c0d9e25b45b5b84b3220471</t>
  </si>
  <si>
    <t>1VqAurQtPwqQfvLkXhDcl_r4MbtoeyO8k</t>
  </si>
  <si>
    <t>https://drive.google.com/uc?export=view&amp;id=1VqAurQtPwqQfvLkXhDcl_r4MbtoeyO8k</t>
  </si>
  <si>
    <t>4f803c4f3466d829bc74ad7bf98f1767adad548d1c0d9e25b45b5b84b3220471.png</t>
  </si>
  <si>
    <t>1hWyNPvVA0wxsjDZThVlXPWPGLRQ6aDOo</t>
  </si>
  <si>
    <t>https://drive.google.com/uc?export=view&amp;id=1hWyNPvVA0wxsjDZThVlXPWPGLRQ6aDOo</t>
  </si>
  <si>
    <t>519b74a02a32927ee8af772a01038d36736eb2aaeb604f8a15719710d72ccc04.png</t>
  </si>
  <si>
    <t>53a6166821a8283bfffd1ba2d422ad4d81a71118145da6cba3f6134219ceaeb4</t>
  </si>
  <si>
    <t>1USaItoX-BQ80z_wNRZ1QDfKFac8RIleI</t>
  </si>
  <si>
    <t>https://drive.google.com/uc?export=view&amp;id=1USaItoX-BQ80z_wNRZ1QDfKFac8RIleI</t>
  </si>
  <si>
    <t>53a6166821a8283bfffd1ba2d422ad4d81a71118145da6cba3f6134219ceaeb4.png</t>
  </si>
  <si>
    <t>1R7muAS7VYcQoOla3ePjUl2qd10sPRFs2</t>
  </si>
  <si>
    <t>https://drive.google.com/uc?export=view&amp;id=1R7muAS7VYcQoOla3ePjUl2qd10sPRFs2</t>
  </si>
  <si>
    <t>53b87d41de61b0eb5ef6562222f1f3bcd5b5ce1da053e57f47b6ed23d7aa8502.png</t>
  </si>
  <si>
    <t>1x-L9XHxf_0kh1A_mrVkE0dlKeyNsKgTS</t>
  </si>
  <si>
    <t>https://drive.google.com/uc?export=view&amp;id=1x-L9XHxf_0kh1A_mrVkE0dlKeyNsKgTS</t>
  </si>
  <si>
    <t>570df8c7a9f77bb2889ba29eb35271e4e2340fd1709d075882800ac637643e15.png</t>
  </si>
  <si>
    <t>57204251806dead2a0fa57a8ced7cac019acf134ccef4a141a934e49fdf271b1</t>
  </si>
  <si>
    <t>1wtiKQdmQbJ-E2kanCE1bWpVidTz6k8yK</t>
  </si>
  <si>
    <t>https://drive.google.com/uc?export=view&amp;id=1wtiKQdmQbJ-E2kanCE1bWpVidTz6k8yK</t>
  </si>
  <si>
    <t>57204251806dead2a0fa57a8ced7cac019acf134ccef4a141a934e49fdf271b1.png</t>
  </si>
  <si>
    <t>1HV2JGLQV-mnF6Tp3rWmXyzAlEBxWPxir</t>
  </si>
  <si>
    <t>https://drive.google.com/uc?export=view&amp;id=1HV2JGLQV-mnF6Tp3rWmXyzAlEBxWPxir</t>
  </si>
  <si>
    <t>5c075290e921279538ad0cbf9786e8855bd2c7f97a066c94d059d313cb34273b.png</t>
  </si>
  <si>
    <t>1AaldctBMFq5f772W-98vle90hOUkR-5F</t>
  </si>
  <si>
    <t>https://drive.google.com/uc?export=view&amp;id=1AaldctBMFq5f772W-98vle90hOUkR-5F</t>
  </si>
  <si>
    <t>5d60fc4768a0d01e3d533d2d5353bdffb58877bc2971bc7053a54071fa4c2f49.png</t>
  </si>
  <si>
    <t>1dG--sOmJ0umUjJWtFC_lEiS1CwFlsu57</t>
  </si>
  <si>
    <t>https://drive.google.com/uc?export=view&amp;id=1dG--sOmJ0umUjJWtFC_lEiS1CwFlsu57</t>
  </si>
  <si>
    <t>5e8589d4cd67c4b88f84e378d72875ccd07de5c9e20cc666bbf217de9d3567b4.png</t>
  </si>
  <si>
    <t>1BrFR-IgTLzgT1wITEtGasX_gQpbjEH5r</t>
  </si>
  <si>
    <t>https://drive.google.com/uc?export=view&amp;id=1BrFR-IgTLzgT1wITEtGasX_gQpbjEH5r</t>
  </si>
  <si>
    <t>60dc13afd9db46855db7cb4b46b2429c473ae61d93c867bb13914cc0ee137a78.png</t>
  </si>
  <si>
    <t>67010df78663529aee482809d36765b8f1fc70fcbc5f1d53546f9ea6dfff5384</t>
  </si>
  <si>
    <t>1kLx9ggx_Krl9CN7Q88-rIczxgrgrA_5O</t>
  </si>
  <si>
    <t>https://drive.google.com/uc?export=view&amp;id=1kLx9ggx_Krl9CN7Q88-rIczxgrgrA_5O</t>
  </si>
  <si>
    <t>67010df78663529aee482809d36765b8f1fc70fcbc5f1d53546f9ea6dfff5384.png</t>
  </si>
  <si>
    <t>1VO-blCnKuEYS9qo8oCv28yM3HgVBDY4k</t>
  </si>
  <si>
    <t>https://drive.google.com/uc?export=view&amp;id=1VO-blCnKuEYS9qo8oCv28yM3HgVBDY4k</t>
  </si>
  <si>
    <t>69ea8e8a316c3f982db0286a71ca33c251b858994e27bb848e628967df9d15f9.png</t>
  </si>
  <si>
    <t>1gOgwzP7D2h0Z1F21fEkAjqfyxVJvT7p-</t>
  </si>
  <si>
    <t>https://drive.google.com/uc?export=view&amp;id=1gOgwzP7D2h0Z1F21fEkAjqfyxVJvT7p-</t>
  </si>
  <si>
    <t>6a91389bf293538f8bfd1747ffc38730176f9e72e8ed7004fabc8cd25e69df6b.png</t>
  </si>
  <si>
    <t>1a6m6qE7T8XN3G9ZzjAeDnpm1xODJVD2W</t>
  </si>
  <si>
    <t>https://drive.google.com/uc?export=view&amp;id=1a6m6qE7T8XN3G9ZzjAeDnpm1xODJVD2W</t>
  </si>
  <si>
    <t>6b689d246c11ea35bf66a151aa4d7d83d1e1b11f9f3a3876c5d609048ea310f8.png</t>
  </si>
  <si>
    <t>1GoH205H7SDSeSRKizC_YohEv3ZGZXxse</t>
  </si>
  <si>
    <t>https://drive.google.com/uc?export=view&amp;id=1GoH205H7SDSeSRKizC_YohEv3ZGZXxse</t>
  </si>
  <si>
    <t>6b6e8c7036722d03a34126403e7106d3512a2d4b72bcd8bde651614e8ad42d7b.png</t>
  </si>
  <si>
    <t>1Fp2mbB6QTjzNKyRuAhu51uK9XWGZJ0vs</t>
  </si>
  <si>
    <t>https://drive.google.com/uc?export=view&amp;id=1Fp2mbB6QTjzNKyRuAhu51uK9XWGZJ0vs</t>
  </si>
  <si>
    <t>6d7f68c6bb26c8342bf3a3e21bb30c4a24aa6ccd9d3319af32684e6641052dcd.png</t>
  </si>
  <si>
    <t>1scI44eFWwzPsngWI-y80jrGu65dPSnBY</t>
  </si>
  <si>
    <t>https://drive.google.com/uc?export=view&amp;id=1scI44eFWwzPsngWI-y80jrGu65dPSnBY</t>
  </si>
  <si>
    <t>6dd7cb5359f54edb9eb0becd33d19118d3e93e266ef7644cf7b9ad2b9ed1262d.png</t>
  </si>
  <si>
    <t>6f8b95ec81c4c65578c705246889ade2223999b1383dbb36d4aae1502b94f22f</t>
  </si>
  <si>
    <t>1UbWYqv9Pgk3-DhkNWiWiJWOb7vsKeDrh</t>
  </si>
  <si>
    <t>https://drive.google.com/uc?export=view&amp;id=1UbWYqv9Pgk3-DhkNWiWiJWOb7vsKeDrh</t>
  </si>
  <si>
    <t>6f8b95ec81c4c65578c705246889ade2223999b1383dbb36d4aae1502b94f22f.png</t>
  </si>
  <si>
    <t>1LeI13vNVUwpoOe3aB5qXyzdvDeRMQW9w</t>
  </si>
  <si>
    <t>https://drive.google.com/uc?export=view&amp;id=1LeI13vNVUwpoOe3aB5qXyzdvDeRMQW9w</t>
  </si>
  <si>
    <t>7018f9f84b61c5801779302689a34fef5b2e9d95f52479d9ef486efda2e55c21.png</t>
  </si>
  <si>
    <t>1C0hRWT9xPhxebxS20gdcnONnrFFrHrc8</t>
  </si>
  <si>
    <t>https://drive.google.com/uc?export=view&amp;id=1C0hRWT9xPhxebxS20gdcnONnrFFrHrc8</t>
  </si>
  <si>
    <t>7026047c5e9f18234ed92d0bc1518a2a4944fc2a9a0bb90628e20b2d93e7f9ae.png</t>
  </si>
  <si>
    <t>18e8CKNN7uYnEReVwAR_x3SW6-0KRC1ti</t>
  </si>
  <si>
    <t>https://drive.google.com/uc?export=view&amp;id=18e8CKNN7uYnEReVwAR_x3SW6-0KRC1ti</t>
  </si>
  <si>
    <t>73da0df025bd69a83446ff2c9628a7f2f1ff34bff9e343059e17e4d31a6218d3.png</t>
  </si>
  <si>
    <t>1e3etQJ8LUZDBj9jvtlX132eBr56q_dyi</t>
  </si>
  <si>
    <t>https://drive.google.com/uc?export=view&amp;id=1e3etQJ8LUZDBj9jvtlX132eBr56q_dyi</t>
  </si>
  <si>
    <t>753b3dfbf00b265816877af61db67c39ee3fae2b4e0a7b8f387b5163ff85b1bc.png</t>
  </si>
  <si>
    <t>13-e9Hh-YxadlpFGjAtCfZq1t4LldE2sW</t>
  </si>
  <si>
    <t>https://drive.google.com/uc?export=view&amp;id=13-e9Hh-YxadlpFGjAtCfZq1t4LldE2sW</t>
  </si>
  <si>
    <t>76b0bf253c0d17b6f275cc641729eda42ebed851893da32c132515023ab1e4e1.png</t>
  </si>
  <si>
    <t>1k250XgvOOF72FEsWYUjCjr-vWk2rMvCA</t>
  </si>
  <si>
    <t>https://drive.google.com/uc?export=view&amp;id=1k250XgvOOF72FEsWYUjCjr-vWk2rMvCA</t>
  </si>
  <si>
    <t>7854ad4022596904b137ebbb044e0bbbd2f590b0dac7f5a46d9991f3c049d647.png</t>
  </si>
  <si>
    <t>15Ixz7gRkuWUlEcmqDxujhcHoFK2aMWqh</t>
  </si>
  <si>
    <t>https://drive.google.com/uc?export=view&amp;id=15Ixz7gRkuWUlEcmqDxujhcHoFK2aMWqh</t>
  </si>
  <si>
    <t>78cb6709ef3e4aa9ec5148bce49e841e9a6257b64dff512fdffde18f1e1fcd14.png</t>
  </si>
  <si>
    <t>1PwzuPp2VxTtnOGGjL52cSiCJNgHn1YaD</t>
  </si>
  <si>
    <t>https://drive.google.com/uc?export=view&amp;id=1PwzuPp2VxTtnOGGjL52cSiCJNgHn1YaD</t>
  </si>
  <si>
    <t>7ce2ef889fd3931ddf910c65e58e6b626f658d713486152c54f9f8a0e6f37375.png</t>
  </si>
  <si>
    <t>8072f6579de3261211c2d30eb23619d2299179bf8835aed226d36f99aa88249d</t>
  </si>
  <si>
    <t>1KwLbqsL-6Q1yoE8G3AwMdnmzLWWbbrjt</t>
  </si>
  <si>
    <t>https://drive.google.com/uc?export=view&amp;id=1KwLbqsL-6Q1yoE8G3AwMdnmzLWWbbrjt</t>
  </si>
  <si>
    <t>8072f6579de3261211c2d30eb23619d2299179bf8835aed226d36f99aa88249d.png</t>
  </si>
  <si>
    <t>81aadc08216233fb3ec392c41a57432e51f78e8bd6996aacb76ad6dc1477ddfa</t>
  </si>
  <si>
    <t>1rbHe7QhudbHnymZr_9pBTuKQfrZ2HOxy</t>
  </si>
  <si>
    <t>https://drive.google.com/uc?export=view&amp;id=1rbHe7QhudbHnymZr_9pBTuKQfrZ2HOxy</t>
  </si>
  <si>
    <t>81aadc08216233fb3ec392c41a57432e51f78e8bd6996aacb76ad6dc1477ddfa.png</t>
  </si>
  <si>
    <t>1U9DtZZk7RfpK6n808zOfKMncNJh84Avf</t>
  </si>
  <si>
    <t>https://drive.google.com/uc?export=view&amp;id=1U9DtZZk7RfpK6n808zOfKMncNJh84Avf</t>
  </si>
  <si>
    <t>8535ef1089f557f019e2fa787114fa1819dadf2106ea8f0b82f86e57f914ea2d.png</t>
  </si>
  <si>
    <t>1qYx6YzAd7RoThhzI3dj8xoMiKTgPNNQB</t>
  </si>
  <si>
    <t>https://drive.google.com/uc?export=view&amp;id=1qYx6YzAd7RoThhzI3dj8xoMiKTgPNNQB</t>
  </si>
  <si>
    <t>8630de5bd303be8b63ba99b787f0f5ed4422765c8917b234cb8a2af6b762ca1d.png</t>
  </si>
  <si>
    <t>18PFzE98x-7-38bIQQMeBbQhFyyG9UUtz</t>
  </si>
  <si>
    <t>https://drive.google.com/uc?export=view&amp;id=18PFzE98x-7-38bIQQMeBbQhFyyG9UUtz</t>
  </si>
  <si>
    <t>86d73054aa9c80dbfbfce326489454f67087052ce0720f75ec87b849d851ce2b.png</t>
  </si>
  <si>
    <t>19H3R4zgjHAZiflYsQweOJLmZA10Cc78n</t>
  </si>
  <si>
    <t>https://drive.google.com/uc?export=view&amp;id=19H3R4zgjHAZiflYsQweOJLmZA10Cc78n</t>
  </si>
  <si>
    <t>88faa9b4e525ea83f6efab60ae88469da5222f0b0f52c16c3af4e4763baa1daf.png</t>
  </si>
  <si>
    <t>1O04KDqtItyWS1Wb-hZKH6topLFRMZlv3</t>
  </si>
  <si>
    <t>https://drive.google.com/uc?export=view&amp;id=1O04KDqtItyWS1Wb-hZKH6topLFRMZlv3</t>
  </si>
  <si>
    <t>89b998636f98304acf1f5a475b5fad130ac8020d521969a48412173d2ac0971f.png</t>
  </si>
  <si>
    <t>1jAZtFB12Rl6jbJsP0SUQUV9msGXpS2tU</t>
  </si>
  <si>
    <t>https://drive.google.com/uc?export=view&amp;id=1jAZtFB12Rl6jbJsP0SUQUV9msGXpS2tU</t>
  </si>
  <si>
    <t>8c496c831c776415f7491e6de8457bb88c62eefeff270c8e0dbec39b78b9413d.png</t>
  </si>
  <si>
    <t>1naYrMkREi0PJzgc9bgZeFCm69CA2pI0W</t>
  </si>
  <si>
    <t>https://drive.google.com/uc?export=view&amp;id=1naYrMkREi0PJzgc9bgZeFCm69CA2pI0W</t>
  </si>
  <si>
    <t>8dd7d47134248a03ffb88fe97e5ab8501d976a5d539ff01c30727b79ede1424f.png</t>
  </si>
  <si>
    <t>1VAxERSm6fixG7fkF2k7SKEGugva4DyH1</t>
  </si>
  <si>
    <t>https://drive.google.com/uc?export=view&amp;id=1VAxERSm6fixG7fkF2k7SKEGugva4DyH1</t>
  </si>
  <si>
    <t>9181e670a018653889d5263448f199379588274b90c51348445093423b56396b.png</t>
  </si>
  <si>
    <t>1aWxz4CkqXjPSW6kvsDSHIzeZzQdMT1jt</t>
  </si>
  <si>
    <t>https://drive.google.com/uc?export=view&amp;id=1aWxz4CkqXjPSW6kvsDSHIzeZzQdMT1jt</t>
  </si>
  <si>
    <t>9323ada035535298a0de65f40698a45122446c861947978f1be17123ecf09a53.png</t>
  </si>
  <si>
    <t>1cpBJQeIrZvmHSoWSkVCLqJBwDfgl0htc</t>
  </si>
  <si>
    <t>https://drive.google.com/uc?export=view&amp;id=1cpBJQeIrZvmHSoWSkVCLqJBwDfgl0htc</t>
  </si>
  <si>
    <t>93a7aef5296e288f3a39f8c1c0dcb8935c9657f5c87378408e5d1910444e7c70.png</t>
  </si>
  <si>
    <t>1KUYkQ-ntI_NqmCyx1LRq9TmGDjdyUJqE</t>
  </si>
  <si>
    <t>https://drive.google.com/uc?export=view&amp;id=1KUYkQ-ntI_NqmCyx1LRq9TmGDjdyUJqE</t>
  </si>
  <si>
    <t>950ed53de307960251af3e387e595945da87494d2d2edf58b103f58f4ccfef78.png</t>
  </si>
  <si>
    <t>1o-WHA7KYmRDE9B-j0opRv1mmpESGVSDE</t>
  </si>
  <si>
    <t>https://drive.google.com/uc?export=view&amp;id=1o-WHA7KYmRDE9B-j0opRv1mmpESGVSDE</t>
  </si>
  <si>
    <t>95944dae06f4e15b8e63e41064092bc51db9f568df5abcdb866112b0a58a759a.png</t>
  </si>
  <si>
    <t>1TCMBbszNEGlsL5VtxrzOMEYelJOIT9FZ</t>
  </si>
  <si>
    <t>https://drive.google.com/uc?export=view&amp;id=1TCMBbszNEGlsL5VtxrzOMEYelJOIT9FZ</t>
  </si>
  <si>
    <t>95e604186e18386f749a6d26e0868477c65803267b7c4d7bf606f77b8bbe1da4.png</t>
  </si>
  <si>
    <t>9675bde0231da8d75eeb40196ec9fda32306f8be61e38a1325b034f2472db01e</t>
  </si>
  <si>
    <t>1EFnExG5fZ-NLFcaXn0b9OWk8PNUH8qe7</t>
  </si>
  <si>
    <t>https://drive.google.com/uc?export=view&amp;id=1EFnExG5fZ-NLFcaXn0b9OWk8PNUH8qe7</t>
  </si>
  <si>
    <t>9675bde0231da8d75eeb40196ec9fda32306f8be61e38a1325b034f2472db01e.png</t>
  </si>
  <si>
    <t>1uG7f9LEw4Tgmf2x_G-CSaBlN4yCuZ9mV</t>
  </si>
  <si>
    <t>https://drive.google.com/uc?export=view&amp;id=1uG7f9LEw4Tgmf2x_G-CSaBlN4yCuZ9mV</t>
  </si>
  <si>
    <t>a000fa4903a3a8290435e1735ea6773bf2f2a14d1b5e564b6ab0e060b8e38688.png</t>
  </si>
  <si>
    <t>1LMx0ph-z-_iOcVg2kOfIWcypZQfXqIA1</t>
  </si>
  <si>
    <t>https://drive.google.com/uc?export=view&amp;id=1LMx0ph-z-_iOcVg2kOfIWcypZQfXqIA1</t>
  </si>
  <si>
    <t>a1437f4d7c5982c950cc3bb1cfab162aa1470eb7263b45d865b404015088558b.png</t>
  </si>
  <si>
    <t>1T0BXBVd2WEA0rN6Nsr040TtJHURtL0se</t>
  </si>
  <si>
    <t>https://drive.google.com/uc?export=view&amp;id=1T0BXBVd2WEA0rN6Nsr040TtJHURtL0se</t>
  </si>
  <si>
    <t>a1a57315af0421443e73ff39f4cc4afaabfb05e5c435fafd3504fd91ab223453.png</t>
  </si>
  <si>
    <t>1sYKlfjPAzIf7pKZldzOcRdd8zRu1lGqC</t>
  </si>
  <si>
    <t>https://drive.google.com/uc?export=view&amp;id=1sYKlfjPAzIf7pKZldzOcRdd8zRu1lGqC</t>
  </si>
  <si>
    <t>a35833a67176bfc8c1457633e2e41ffb5e4bf6aac7127377e8b9881caf1cf52e.png</t>
  </si>
  <si>
    <t>1rsDtebJyUsc44D4azSN_1tatCsc4z1dx</t>
  </si>
  <si>
    <t>https://drive.google.com/uc?export=view&amp;id=1rsDtebJyUsc44D4azSN_1tatCsc4z1dx</t>
  </si>
  <si>
    <t>aa3e744d9ea1bfef5bac5c29b695be41bbe453b6bf59bb5ff04d04fe3ddb9b7e.png</t>
  </si>
  <si>
    <t>1boprvg52jz6DUjrhMm3fTaAr8Ssf99vW</t>
  </si>
  <si>
    <t>https://drive.google.com/uc?export=view&amp;id=1boprvg52jz6DUjrhMm3fTaAr8Ssf99vW</t>
  </si>
  <si>
    <t>ad1624c5c3a02a3a3b3dcb044b912998b64ca2e7cd54abe79476f86a41a3234b.png</t>
  </si>
  <si>
    <t>ad6fc94e2a663a8989f7238cc0e2427eb8b8ff0a464fff43d68ee9e1ac82aac4</t>
  </si>
  <si>
    <t>1Yu1VNIyh00VY0qz0F_SRTFrtl5eLAGmY</t>
  </si>
  <si>
    <t>https://drive.google.com/uc?export=view&amp;id=1Yu1VNIyh00VY0qz0F_SRTFrtl5eLAGmY</t>
  </si>
  <si>
    <t>ad6fc94e2a663a8989f7238cc0e2427eb8b8ff0a464fff43d68ee9e1ac82aac4.png</t>
  </si>
  <si>
    <t>1VL4c-d4O-yiBWWNmldRSJBMlKzGmetZ8</t>
  </si>
  <si>
    <t>https://drive.google.com/uc?export=view&amp;id=1VL4c-d4O-yiBWWNmldRSJBMlKzGmetZ8</t>
  </si>
  <si>
    <t>aeff5cdc8c731a2b16beb6f260aeeca455401bc2ddb229aa87a464475f95b1ca.png</t>
  </si>
  <si>
    <t>1JBbWCHh77B7AFb50OBlUvv7RBZNP1_mz</t>
  </si>
  <si>
    <t>https://drive.google.com/uc?export=view&amp;id=1JBbWCHh77B7AFb50OBlUvv7RBZNP1_mz</t>
  </si>
  <si>
    <t>aff3f9448ca917cc6f9b0fa8f92a2dadcee4f890337259421ce866e71ff22c49.png</t>
  </si>
  <si>
    <t>1nZ7KjaIM3yzNGcxNK_SJHBvC9VK4ldUk</t>
  </si>
  <si>
    <t>https://drive.google.com/uc?export=view&amp;id=1nZ7KjaIM3yzNGcxNK_SJHBvC9VK4ldUk</t>
  </si>
  <si>
    <t>b2739ffce4a91e9880373035f1a135a3772577ebe8a9e985482de17ccedccefd.png</t>
  </si>
  <si>
    <t>1vcDXNmIRfpjCkH8mB1l4VGSAWZQ-235f</t>
  </si>
  <si>
    <t>https://drive.google.com/uc?export=view&amp;id=1vcDXNmIRfpjCkH8mB1l4VGSAWZQ-235f</t>
  </si>
  <si>
    <t>b2c90b16a2864cf16993f00192cdb13ee656ac6cd53f745acd473a25224cd05d.png</t>
  </si>
  <si>
    <t>1f5efNff1_VHTdnWGHBb9oyiD9DHu-nDA</t>
  </si>
  <si>
    <t>https://drive.google.com/uc?export=view&amp;id=1f5efNff1_VHTdnWGHBb9oyiD9DHu-nDA</t>
  </si>
  <si>
    <t>bb0c30cc3cd79a7b954b6a58338b43ab5c258562b868a12e26fa432eed432da9.png</t>
  </si>
  <si>
    <t>bc7fef2cefba2315bb3b68531dc5dcb4a490a3a089fdceb6802c0198959c0e19</t>
  </si>
  <si>
    <t>1MKIKgdPRsQtU1eZxstZo_pymUpDRYYIE</t>
  </si>
  <si>
    <t>https://drive.google.com/uc?export=view&amp;id=1MKIKgdPRsQtU1eZxstZo_pymUpDRYYIE</t>
  </si>
  <si>
    <t>bc7fef2cefba2315bb3b68531dc5dcb4a490a3a089fdceb6802c0198959c0e19.png</t>
  </si>
  <si>
    <t>1S8IidZBJdlNO4ibbK4dO4Gdioc0rdljb</t>
  </si>
  <si>
    <t>https://drive.google.com/uc?export=view&amp;id=1S8IidZBJdlNO4ibbK4dO4Gdioc0rdljb</t>
  </si>
  <si>
    <t>bd41cbdc04707f80b319802470a1871b99d36766f9d020cc0f9a569a4d1bb54b.png</t>
  </si>
  <si>
    <t>1UNQCPOeY7QTVny3Xtxah8qoWJZNxr0F9</t>
  </si>
  <si>
    <t>https://drive.google.com/uc?export=view&amp;id=1UNQCPOeY7QTVny3Xtxah8qoWJZNxr0F9</t>
  </si>
  <si>
    <t>bd7739509fa70c858197ea24926c2c696b797f60240eac8fe389b1d67ce663be.png</t>
  </si>
  <si>
    <t>1MRi8g6wye_7jVJR9_3De7oxESvwSgHoH</t>
  </si>
  <si>
    <t>https://drive.google.com/uc?export=view&amp;id=1MRi8g6wye_7jVJR9_3De7oxESvwSgHoH</t>
  </si>
  <si>
    <t>bee686e3fcc9f3886386d09a5bbd6f4779d852c8bb282b0b6185be70704d9207.png</t>
  </si>
  <si>
    <t>1lchBEfwdRE9lb6X5MnzB6mAqNOgcKZ8l</t>
  </si>
  <si>
    <t>https://drive.google.com/uc?export=view&amp;id=1lchBEfwdRE9lb6X5MnzB6mAqNOgcKZ8l</t>
  </si>
  <si>
    <t>bfe01fd74f4a333b18002bc2d02ce800bee2e244cc59a5156ca3fcc5a0cdce00.png</t>
  </si>
  <si>
    <t>1-UY3XmxPxEu1RihxL1MBINxruuhPpva7</t>
  </si>
  <si>
    <t>https://drive.google.com/uc?export=view&amp;id=1-UY3XmxPxEu1RihxL1MBINxruuhPpva7</t>
  </si>
  <si>
    <t>c38594bec27d288cfe5bd031cde0cff4c46de188336f74ff3f79854c88c65b00.png</t>
  </si>
  <si>
    <t>1hwYPQ_dUxpBrB02ZBkyNCfRjvDmGJRZZ</t>
  </si>
  <si>
    <t>https://drive.google.com/uc?export=view&amp;id=1hwYPQ_dUxpBrB02ZBkyNCfRjvDmGJRZZ</t>
  </si>
  <si>
    <t>c547e37e3c5d2add9a3cb5fdeecfbc779e0ee9d6a7dbb489c799cc94e7b9abd2.png</t>
  </si>
  <si>
    <t>c6b3efc496c7eabd69a2596c96fb7bacc652d49811a4be0df0bb37196a37ea02</t>
  </si>
  <si>
    <t>1tRwhAije6NsZlNRB2MNS1iJeADpNxhlR</t>
  </si>
  <si>
    <t>https://drive.google.com/uc?export=view&amp;id=1tRwhAije6NsZlNRB2MNS1iJeADpNxhlR</t>
  </si>
  <si>
    <t>c6b3efc496c7eabd69a2596c96fb7bacc652d49811a4be0df0bb37196a37ea02.png</t>
  </si>
  <si>
    <t>1C30CoYtZ8BIgj3VfmW8KGu86ehY8hm69</t>
  </si>
  <si>
    <t>https://drive.google.com/uc?export=view&amp;id=1C30CoYtZ8BIgj3VfmW8KGu86ehY8hm69</t>
  </si>
  <si>
    <t>c8d01afd1e4a742fb48896441f92f6f4f1c21f02b0059b58f21e1c6efb099eb2.png</t>
  </si>
  <si>
    <t>1kGDURubbZnMQBffB5PB9_0yLDQAf-JuI</t>
  </si>
  <si>
    <t>https://drive.google.com/uc?export=view&amp;id=1kGDURubbZnMQBffB5PB9_0yLDQAf-JuI</t>
  </si>
  <si>
    <t>ca1b7797566e850c3e583a2fbda610a51d5504ca9b0d611a0a3e2770c912d52d.png</t>
  </si>
  <si>
    <t>1GAdl7zAz7C9SRN3ySP31KMtm7V9vgwLT</t>
  </si>
  <si>
    <t>https://drive.google.com/uc?export=view&amp;id=1GAdl7zAz7C9SRN3ySP31KMtm7V9vgwLT</t>
  </si>
  <si>
    <t>cbdbb864a7b15c5903aa09adff018a3d184f25c250b86926a5bc3fd9d9169037.png</t>
  </si>
  <si>
    <t>108qZFHc4ZfjmsfaXMOJv4JCpCL6e9ore</t>
  </si>
  <si>
    <t>https://drive.google.com/uc?export=view&amp;id=108qZFHc4ZfjmsfaXMOJv4JCpCL6e9ore</t>
  </si>
  <si>
    <t>cec0a384f41fb2446aff0043657c7e32479dd58e701084dde0bcc28f161aa2b1.png</t>
  </si>
  <si>
    <t>1WdtTR31fXRtucZnquOmGJxOxjA5V3_kV</t>
  </si>
  <si>
    <t>https://drive.google.com/uc?export=view&amp;id=1WdtTR31fXRtucZnquOmGJxOxjA5V3_kV</t>
  </si>
  <si>
    <t>cef23c3f251969f778435219b38afa60f2e41b3927e82fa6d43de8c59f93f883.png</t>
  </si>
  <si>
    <t>1TgnYoAzhn1GWS6pzSB1zMGaAI-2cg_R7</t>
  </si>
  <si>
    <t>https://drive.google.com/uc?export=view&amp;id=1TgnYoAzhn1GWS6pzSB1zMGaAI-2cg_R7</t>
  </si>
  <si>
    <t>cf13a4b65841c7dceb8412708517c5be0cdedb328ac511655c4a95ee813d548b.png</t>
  </si>
  <si>
    <t>1sORU1zJDu870Wyh-nPPQG2k2DAIZyL0g</t>
  </si>
  <si>
    <t>https://drive.google.com/uc?export=view&amp;id=1sORU1zJDu870Wyh-nPPQG2k2DAIZyL0g</t>
  </si>
  <si>
    <t>d24b87329bb09b449a89676a4e96858c289cdfad521c03fb9ce166a83aceb603.png</t>
  </si>
  <si>
    <t>1MTqZ_Nj9mqeIvE4nfpYwBKqEgrJh2DBJ</t>
  </si>
  <si>
    <t>https://drive.google.com/uc?export=view&amp;id=1MTqZ_Nj9mqeIvE4nfpYwBKqEgrJh2DBJ</t>
  </si>
  <si>
    <t>d3f0d126711eb978e948a2cbeb9c2b2b0ffa79541fe717c41575d91f5e21aa61.png</t>
  </si>
  <si>
    <t>1KfztLZV8rNLHJh4oyRV-QKcKVuelFzW-</t>
  </si>
  <si>
    <t>https://drive.google.com/uc?export=view&amp;id=1KfztLZV8rNLHJh4oyRV-QKcKVuelFzW-</t>
  </si>
  <si>
    <t>d46637522853433efdf1806e2e5336c312d5ba0ff0a32b80468e96b8abf11c04.png</t>
  </si>
  <si>
    <t>1KhS4FL8JsEv2UlIy1-QxU2hKaazyQlvh</t>
  </si>
  <si>
    <t>https://drive.google.com/uc?export=view&amp;id=1KhS4FL8JsEv2UlIy1-QxU2hKaazyQlvh</t>
  </si>
  <si>
    <t>d87811d4a1e9ba86c382fda19de6f7d1ad04b42f8c0dceeb81cd7cafc1008ed8.png</t>
  </si>
  <si>
    <t>1sy69csSjy5xCN92K8KoMsM7RxATl_3g2</t>
  </si>
  <si>
    <t>https://drive.google.com/uc?export=view&amp;id=1sy69csSjy5xCN92K8KoMsM7RxATl_3g2</t>
  </si>
  <si>
    <t>d9381190f981d16a88149206249465bb181ce58d6359562dea944f4d477363e3.png</t>
  </si>
  <si>
    <t>18xY08YjkO7BwXUwMHGkVPzUC0ijZJoeA</t>
  </si>
  <si>
    <t>https://drive.google.com/uc?export=view&amp;id=18xY08YjkO7BwXUwMHGkVPzUC0ijZJoeA</t>
  </si>
  <si>
    <t>d981675479ab443031cba32f40c3dca9e031547c59346a4c0ea7c624c054d936.png</t>
  </si>
  <si>
    <t>1hOEpmHONP2yIGJi8RQ9sw2-xFMqPGK99</t>
  </si>
  <si>
    <t>https://drive.google.com/uc?export=view&amp;id=1hOEpmHONP2yIGJi8RQ9sw2-xFMqPGK99</t>
  </si>
  <si>
    <t>db2e162c7c1734ed5a58abc1706b9efbbdadbd2ba5f77bea6911a1aabd5e0831.png</t>
  </si>
  <si>
    <t>1TNicVcDBPpQ5xDCkYAVQ4E2TAO8xmaj9</t>
  </si>
  <si>
    <t>https://drive.google.com/uc?export=view&amp;id=1TNicVcDBPpQ5xDCkYAVQ4E2TAO8xmaj9</t>
  </si>
  <si>
    <t>de14d69ecb05cea275dcf6a7cb707626315f3e81931958d7d7b15131368cf4d6.png</t>
  </si>
  <si>
    <t>180mkIQ0YjuGihxCSvGEvDyHVl6FCIznz</t>
  </si>
  <si>
    <t>https://drive.google.com/uc?export=view&amp;id=180mkIQ0YjuGihxCSvGEvDyHVl6FCIznz</t>
  </si>
  <si>
    <t>e3d00c0bcfea6e4a68c5c4842d0bedac5e761cfa5be62ec60aae839f44a7f555.png</t>
  </si>
  <si>
    <t>e4022e6c05adb71c27444306f992d913c4d37cdbf63bf704fadfdddd56b65831</t>
  </si>
  <si>
    <t>1OFfC2-PtY0j7kXcJ5W4BtAMnx2E_udx_</t>
  </si>
  <si>
    <t>https://drive.google.com/uc?export=view&amp;id=1OFfC2-PtY0j7kXcJ5W4BtAMnx2E_udx_</t>
  </si>
  <si>
    <t>e4022e6c05adb71c27444306f992d913c4d37cdbf63bf704fadfdddd56b65831.png</t>
  </si>
  <si>
    <t>1_oD6aK6IksPVXg22N9sJlLTyjkXLLHvw</t>
  </si>
  <si>
    <t>https://drive.google.com/uc?export=view&amp;id=1_oD6aK6IksPVXg22N9sJlLTyjkXLLHvw</t>
  </si>
  <si>
    <t>e4380b18857e28837873b807b4ee2bee2e199a3536f56fb56fb5949de4c17a77.png</t>
  </si>
  <si>
    <t>e7da0da09cd3de7d6414a439154f40924d0533b799648184fa85baef339710ba</t>
  </si>
  <si>
    <t>125_nAfUpJXegSZXCFIdOgjW4FGvd8If2</t>
  </si>
  <si>
    <t>https://drive.google.com/uc?export=view&amp;id=125_nAfUpJXegSZXCFIdOgjW4FGvd8If2</t>
  </si>
  <si>
    <t>e7da0da09cd3de7d6414a439154f40924d0533b799648184fa85baef339710ba.png</t>
  </si>
  <si>
    <t>1OQPxunuXyzoladj358gyA0J7cWj8hKOD</t>
  </si>
  <si>
    <t>https://drive.google.com/uc?export=view&amp;id=1OQPxunuXyzoladj358gyA0J7cWj8hKOD</t>
  </si>
  <si>
    <t>ea47fdcc277117bd663900f36ab09bad41ea1af083ccbc63647b5838e1056ebc.png</t>
  </si>
  <si>
    <t>1zb7Gup7u9pFEDt1cEnqPsl8ulJT5zHn6</t>
  </si>
  <si>
    <t>https://drive.google.com/uc?export=view&amp;id=1zb7Gup7u9pFEDt1cEnqPsl8ulJT5zHn6</t>
  </si>
  <si>
    <t>eefcecf5c7183df8d369a35df238dd9fd990564264dcadc7bafacbafbef888ac.png</t>
  </si>
  <si>
    <t>1isZEKwNFFweK3HMuzMmCh3shsBfefpR8</t>
  </si>
  <si>
    <t>https://drive.google.com/uc?export=view&amp;id=1isZEKwNFFweK3HMuzMmCh3shsBfefpR8</t>
  </si>
  <si>
    <t>effa5fafd71a87510e477792561dc4c6a0d7a624d93f5ee78db77ac7c2a41d63.png</t>
  </si>
  <si>
    <t>1C5WPu8QW-emy4CZ7AbRJR9rKC321-hll</t>
  </si>
  <si>
    <t>https://drive.google.com/uc?export=view&amp;id=1C5WPu8QW-emy4CZ7AbRJR9rKC321-hll</t>
  </si>
  <si>
    <t>f1adcb66d665ecba393da1490aca01e322bebd658ae2ef41aadee9ec7106def2.png</t>
  </si>
  <si>
    <t>f3f68937b7087b8fa82118be631d144b10b8c5391b8a16f2affa093c1957edb1</t>
  </si>
  <si>
    <t>1sPLSIKtMGx75GVGMsWwMS_eu6bHQcLWe</t>
  </si>
  <si>
    <t>https://drive.google.com/uc?export=view&amp;id=1sPLSIKtMGx75GVGMsWwMS_eu6bHQcLWe</t>
  </si>
  <si>
    <t>f3f68937b7087b8fa82118be631d144b10b8c5391b8a16f2affa093c1957edb1.png</t>
  </si>
  <si>
    <t>1trC62vdzPddnMpL0UAFUe_LRPWRyOdF_</t>
  </si>
  <si>
    <t>https://drive.google.com/uc?export=view&amp;id=1trC62vdzPddnMpL0UAFUe_LRPWRyOdF_</t>
  </si>
  <si>
    <t>f421319a6d338f4c75d9ce493c2ab35aa31da5115a045fb9149446903d5f1141.png</t>
  </si>
  <si>
    <t>1LrDT_B5n3TrJX6r80Y5MKlIlLuqx-0dJ</t>
  </si>
  <si>
    <t>https://drive.google.com/uc?export=view&amp;id=1LrDT_B5n3TrJX6r80Y5MKlIlLuqx-0dJ</t>
  </si>
  <si>
    <t>f837bce807410ac6f8b52fcee81a1ffaa2d7f77755861f2e6f2b482bff0f6fe9.png</t>
  </si>
  <si>
    <t>1qt6B8KGvC4D5dtRoo9pSR4zz1t91Sacf</t>
  </si>
  <si>
    <t>https://drive.google.com/uc?export=view&amp;id=1qt6B8KGvC4D5dtRoo9pSR4zz1t91Sacf</t>
  </si>
  <si>
    <t>f8461dec16e4e6cc62d1cadd424373bdf634bdc01764d3df74cd9fff9658baff.png</t>
  </si>
  <si>
    <t>11bSmQnG0pWzlGUN-uzyoucOGp1RQM1i2</t>
  </si>
  <si>
    <t>https://drive.google.com/uc?export=view&amp;id=11bSmQnG0pWzlGUN-uzyoucOGp1RQM1i2</t>
  </si>
  <si>
    <t>f8dac969c272aabb2ba0adebac1b711f0f174a8288053069be5391c65bb027c3.png</t>
  </si>
  <si>
    <t>18EQKY1CABCMU_wzKaB72FanwOpjvtdtR</t>
  </si>
  <si>
    <t>https://drive.google.com/uc?export=view&amp;id=18EQKY1CABCMU_wzKaB72FanwOpjvtdtR</t>
  </si>
  <si>
    <t>fa7805c1d46ef49851de43750a665a993eef750b560159967106d3b96821759c.png</t>
  </si>
  <si>
    <t>1ZS8pt0wCGELJlJna5e7vdqjcjwl3K5_F</t>
  </si>
  <si>
    <t>https://drive.google.com/uc?export=view&amp;id=1ZS8pt0wCGELJlJna5e7vdqjcjwl3K5_F</t>
  </si>
  <si>
    <t>fcc829e7dd1db87335c46064982f06853c8a5c39399202b284952458b04f0d5d.png</t>
  </si>
  <si>
    <t>10G6upqIzq9Xdy9gjMaOJCahZ4-c6knX3</t>
  </si>
  <si>
    <t>https://drive.google.com/uc?export=view&amp;id=10G6upqIzq9Xdy9gjMaOJCahZ4-c6knX3</t>
  </si>
  <si>
    <t>fcf731e2be9a1377e7aed9c84be49e59ff2b3595fd86235d37d58011462b8fcf.png</t>
  </si>
  <si>
    <t>1UBntaiZR0fVUj9bHthFJzqO6EB85R_xD</t>
  </si>
  <si>
    <t>https://drive.google.com/uc?export=view&amp;id=1UBntaiZR0fVUj9bHthFJzqO6EB85R_xD</t>
  </si>
  <si>
    <t>fe48d6db483ac4bd61b017d826272e803a5ba40fca9dcc14ce181a1331e1fa18.png</t>
  </si>
  <si>
    <t>X-Grade</t>
  </si>
  <si>
    <t>80b79645be384d8162597a76b28062cd35ea1019db9344ebd3f549d05246afa2</t>
  </si>
  <si>
    <t>f2c0c481d6d6af0b83c418cd9a25d31dc1ffd303019b7cff7adf84e88f578dcf</t>
  </si>
  <si>
    <t>c24802aafcbbb5d0d9f4ff58778800955e3c56280ac70345100d3a9a6ea2653f</t>
  </si>
  <si>
    <t>b83f22b6c073f282fc8e9556f47e3cb0ecb74d950973838f47c4837826ff08e0</t>
  </si>
  <si>
    <t>fa57bd66cb6354a6d8af1e7b47b28589e586bf1303a9080652bf2cfe6b9bbab4</t>
  </si>
  <si>
    <t>2b094c4248c216c84aca0e3dbdd79ba28f43b7e9912a7d2190688321f51e5a7a</t>
  </si>
  <si>
    <t>a50b5be5f4ff7ea94290013a66e36e6dea9aed76a2d5c4bef41e28b4ad4503ed</t>
  </si>
  <si>
    <t>f957373d2a222c4eb2d4a1ff4cb458e3bebf9e8e6e6d09515d4e23c376f39647</t>
  </si>
  <si>
    <t>3e88c0584a41035de2c85904f13d7e5f03eab562308106eb2d9c7d8d1d5f65fb</t>
  </si>
  <si>
    <t>9ecd8d14b33e6d7b4895b660bfc04f1b62dc5ff8d0361871658026089631b0f4</t>
  </si>
  <si>
    <t>ec1a874203c55517f71dfe34ba86744fb41138693a65832b20cfa6f533f75e09</t>
  </si>
  <si>
    <t>048fce7bd5670d2ce6215f41856aea059973fb280ce1067c7896d7e982dce89a</t>
  </si>
  <si>
    <t>c680435725f2cafc681abd19b42f002d0f35298c929bbd106403609fc6261bee</t>
  </si>
  <si>
    <t>f443bbd96f97f46715406d27b026e030447ad9e96d55300a62dcdb54bf95a4f3</t>
  </si>
  <si>
    <t>78b97b24e7b9929a2394388b957622713a424929419979469d005d10b34ed639</t>
  </si>
  <si>
    <t>b43a0433ebcd4615d10b350555c5aae6a34f0b8dd322cdf508fd58dd4ff0b5c5</t>
  </si>
  <si>
    <t>bd967167b9a70cc58353beeb439070461fdb8560c896ff070e6900aa37187d74</t>
  </si>
  <si>
    <t>b65b6d24572830c97c47256ad70692e4abc7c290ffa8cefe322be469accd8d5e</t>
  </si>
  <si>
    <t>c553dc3283c858d600428ab9da98653a77b7cd25b18d42f7e342f50e3dd2811d</t>
  </si>
  <si>
    <t>9fa16bb176ae097dc1ff36d812d98bec769aa6f3709545c752ce403e0d3acc40</t>
  </si>
  <si>
    <t>16d4c5bf7eb5f6e804de07bd9f16ac0c6242adaecf20fa778a69734dd8e8aba8</t>
  </si>
  <si>
    <t>a911b94c45c75c9742f985664b28a5e51c9562b9423efe24b3b1ea0da99ea920</t>
  </si>
  <si>
    <t>f9a459fa3ddd5b14d229dc44184452d5ad5700ded46bca132647340ff5778ab1</t>
  </si>
  <si>
    <t>2bd924c625258c3d7c9399287b1e634338d5a3d34d8b4c4793ba7b2d2568d386</t>
  </si>
  <si>
    <t>2ddee81d097f550d3cb4a5197f616502bbf5cba763db4afca0c88f9c6f6c355d</t>
  </si>
  <si>
    <t>d5b8de8db1cf22f45e0efd08dc7b38431edfdc53aca4038204460398cd6c21ee</t>
  </si>
  <si>
    <t>ff02364c8aab08a51916bd6a58bf7337b5d60939ee9b5381cce52e3ccbcd6b6d</t>
  </si>
  <si>
    <t>c7e19683c93c7fcbfab6f259ebe943a44204981dbf5af4dfc37ef26961758906</t>
  </si>
  <si>
    <t>62fcdb6ab7d866469212eb68cea38fd06fa6c92dc597ad7711f73cb039111976</t>
  </si>
  <si>
    <t>d86cb3d8304a2cede047c31ebe6619f33357872d26a21d1367318821e35e09cf</t>
  </si>
  <si>
    <t>2dea2a547b0c8f5941d4565073ac4423acfe59e2139b3d4ae5144ee135fa8eff</t>
  </si>
  <si>
    <t>a424f1f01cfab62373257c0cb81da9502e4d88af9bb5f68ac4794f8fef3c2b85</t>
  </si>
  <si>
    <t>598c03472e7a8089a50c5cf01bb63e48c05f1a79ee4898185c5f1ef294d8622a</t>
  </si>
  <si>
    <t>30c3cfd79bdbd5af40c1c98fdb35f86d4063932bb980ab41105faeb500bb7a59</t>
  </si>
  <si>
    <t>fd8111a7935742d5d198fb6ba2224bf1b772974b7c17e145837a4bc4512efe8a</t>
  </si>
  <si>
    <t>e50725c0eeae06d5084a25d7cae981462f08ed57e7e604cb824844793a5c6dcc</t>
  </si>
  <si>
    <t>54750e433d92006537b7a49eedc6002e0c97db298cb995f21f8746b7c79d43ce</t>
  </si>
  <si>
    <t>ca9dd71f2db93f715bbea6fdbd11e0cad4194d54c4763331bb82f561782a3159</t>
  </si>
  <si>
    <t>2845b5edd3c2b977894675d6c83996f92f5ac3cc4f0a61a494a34e8d8a99b774</t>
  </si>
  <si>
    <t>a5a72f3838b3d70874ac4a07223544c0dcfa9e2358c85d6b628f44940c1e3e92</t>
  </si>
  <si>
    <t>3a6fe01402333cdf3412fc08782a0ac13adeddf1953ee1df98fb770a0c2ca9ca</t>
  </si>
  <si>
    <t>0971feccb4757660518949d4320c4ef50975fc055f4083ae75dc9a362f5d8a46</t>
  </si>
  <si>
    <t>03000c72d4dd6a4be44ffc175dec5d9a15a83a2f8073b08b27be1fb7638cc466</t>
  </si>
  <si>
    <t>ec8e0696e80a8e8c45ebbecc3429597d81a3c106fd5939bc3ed685240ce84c8a</t>
  </si>
  <si>
    <t>2cb5647803ac30eb527cd977610f7ed1140e4488daddf7cdef80e3fd08b506e1</t>
  </si>
  <si>
    <t>00358c94503a8d9e6869efc6e5cdb0e1c8e9eb39b1fd4670206aa82503a575dc</t>
  </si>
  <si>
    <t>4897b70947bf82f7a5a3e217001e6be4a9b8bd7cea9711ec56500afa9a02a515</t>
  </si>
  <si>
    <t>a6a3c7cd213abce3011b8586afbd7b8153dd29aee2c2f52688ef8ef895eaabb0</t>
  </si>
  <si>
    <t>5ee88efb44a62c560639acbabf95fc60f46ad4f3f8aa6492729a4a5e0c610371</t>
  </si>
  <si>
    <t>e8fcb5c680b6bdab983fc8705cf4149d4ffc71e7e1d375ab38582c81a8a222dd</t>
  </si>
  <si>
    <t>5727fa1d0cb394af6963d460c256bc9fc3f351d90438650cb93aaedbad149274</t>
  </si>
  <si>
    <t>92e41e237eb721c0e2a38a12e0317eb406b0b8a6b26a4fe8e109279caaac26be</t>
  </si>
  <si>
    <t>4ed6385442789c13f187542a75c25ce22295ae4d5286d8bb321926accc327942</t>
  </si>
  <si>
    <t>84ef557b626c0d70750b521cf708dec0bf4f19ee66c40f0518a21c80864cb99e</t>
  </si>
  <si>
    <t>568755496a2b5ecc57c97f1ae8c52203ab643081ca1b008a1d43e66edfc75eea</t>
  </si>
  <si>
    <t>c4776c88a7dc61ac8c990cbf8584ae5b95963474d6a2ec981fa2b1d62aa40d40</t>
  </si>
  <si>
    <t>d7b242422be5e62a8d6759bbaa2dd788ef0a039847ba64911c3fff58025c8792</t>
  </si>
  <si>
    <t>87bc9471aaf330556f32e99fc91ca5c1d212e935de2fe03986332e62a7d3e179</t>
  </si>
  <si>
    <t>a3151bceaa87cb266eee2e026bb2770086f0767dc10aefbcd31cf526bf21ce24</t>
  </si>
  <si>
    <t>f4a36ebc5b628a049e769ccc2ae8e21a561ca689717f0b342b96c8ede09c0219</t>
  </si>
  <si>
    <t>832777ca15af30deab6512acb75b148fee8b049caabf9491352ba930951bbc99</t>
  </si>
  <si>
    <t>5952b6d60763e61ee8e276d8af7831dd8eef96984fecc19ca63005c0b71406b8</t>
  </si>
  <si>
    <t>6d1c41cdb7671eefe3cb4edcba409e21b0b5a8196f6ff13cae446850bd0983a1</t>
  </si>
  <si>
    <t>57c8de458e9794ddf8608ecaad5ef4caafb0bffa9309db4f1ffcba7d70494958</t>
  </si>
  <si>
    <t>1f0e4c406443bc8a01467fd0f5b45a0aa4e95fded6b2c5d85ac532727bfd3c6d</t>
  </si>
  <si>
    <t>3a1e59019ccaa8bc0f560a4042b1415d5fb7b0436c1f665d309b3f6cefea7d83</t>
  </si>
  <si>
    <t>adb9f7d3adbec0b1c145469d1272d3d68d27b0496351121d7f3edec48dffdb99</t>
  </si>
  <si>
    <t>6441cd44226ffccd5cda9825c82156f6989c0ac691ecbcdbb06ba44c2c03e0e4</t>
  </si>
  <si>
    <t>166572dff8d5aedada06bc75f068301e14a3c203b9fd850bf4606292acd135f5</t>
  </si>
  <si>
    <t>3139ea2a50e3a141080518e586ca669193eae16c2639b9e1b17b3fe42e21cfae</t>
  </si>
  <si>
    <t>21b2a371c603c1881c816d27fa28fb5d05088aa770b7fdc4d5a04492d93612c0</t>
  </si>
  <si>
    <t>bd5b4475ad702f1f3a58eaa229a8fa29ec0b6285a8be138c21f57edb3024b86d</t>
  </si>
  <si>
    <t>50e6842e7bfdeb000cb9754c8e940ff8d26e9c987b32fa9c765cd6f1c2a7df99</t>
  </si>
  <si>
    <t>bea1e98706cb0c098679e0e5aa145a97f9fd3d7921ca9758fd3b2a3cda16923b</t>
  </si>
  <si>
    <t>2464d583948e7369200abe0db2a33c62a383e9915104e6869b17f8f89244de0d</t>
  </si>
  <si>
    <t>35dc3b84aaff8203e801d6da20df9f8e2677abd0d623f5e4f5eecfe0f42d43fc</t>
  </si>
  <si>
    <t>c564abeebce244fd96023eb0bb99dbcdf4fdaea1d606463c3d4879e06a99dda6</t>
  </si>
  <si>
    <t>59743abb508a8061e5064ce47120200c86a3885ce2baf4214adc7128cba65113</t>
  </si>
  <si>
    <t>0ad1e8e19521af38467ce62dbba5cf3531f17875bc11e7aa53e1b8584ca1bc4f</t>
  </si>
  <si>
    <t>c55412dfec4229257b7e5b9f351aded8bf89457addeb8f6e6e349f74aee27674</t>
  </si>
  <si>
    <t>cdd0ad20946b8bdd886db177aea59e7b1770a2881dd8cbbcdb7dc5adcf5730e1</t>
  </si>
  <si>
    <t>1ff64286fcc902f2048b851d7b5ee3bbb7715d1802021574aaf5dfef71b68ae6</t>
  </si>
  <si>
    <t>f116832a0eb31d3cc89a5c4bba301d1a5758438ee1f1bd382fee9277a1fe6284</t>
  </si>
  <si>
    <t>55201ba1af31bded5fa75c43d04b75046f3a91a7c88d19ffb0c4497b4815a716</t>
  </si>
  <si>
    <t>e62fc7f4f92cd9a65e84bfe3c31f6e9bf117b4709067eac106b9715cb5f0fc02</t>
  </si>
  <si>
    <t>7c5b34dcc4ab16388cb8f7076fd575a78bf0eafe318b053da6af72fd244b8c24</t>
  </si>
  <si>
    <t>20300013d055d63c747accf06b9f7c94f8d736c3d5c89fe52b71857de90ecaaf</t>
  </si>
  <si>
    <t>8ef8c191f2e6996e5aa2061354fa9581dea5b5ea7334ecf8d7018db50eecfacb</t>
  </si>
  <si>
    <t>846245c30c8371ed901ad1856c2bf129e4824c6afec6a8aecfae1e7b49805594</t>
  </si>
  <si>
    <t>c80057fddc67ce687c85a006cf65e59346bc5059721fa241b2473a84301c2327</t>
  </si>
  <si>
    <t>09db7ba4c23b61069909ed92ec0cb34ff8e34868badc0a1a6bfdf336ce989511</t>
  </si>
  <si>
    <t>b0638251b9699e7b5a85e9527482039e03615390eeb70d93e7de298bfb0b8135</t>
  </si>
  <si>
    <t>138c4c9a5ae1f9ffc53e24e3083b2514b5d9aa6b12467d60b62c8929816e189f</t>
  </si>
  <si>
    <t>ca1ed2c1cad95f5fb926db06e52ebe6cec3f19485a7cf130b24dcfe1f2c26e24</t>
  </si>
  <si>
    <t>5076c7de3c667c84d2ca7fd969f9df9fd327dc2f1857e3d60625555a2e5440df</t>
  </si>
  <si>
    <t>79113765c9b7d68839422b6221d02fc97323ff61ac02e38fb1055b89962fb74a</t>
  </si>
  <si>
    <t>510dd42fcb5e39a40bf7110252cf9606a3a53c97cff32e2b5df43d5f8ad373fc</t>
  </si>
  <si>
    <t>04ed28ab2b2a010c686bf190a5f001dfdc7d9ec41859048d64d141b976f46d31</t>
  </si>
  <si>
    <t>3551a84cfdcf198093e6688149f7456eaa54bad8b74b878e984b0a7bf0859533</t>
  </si>
  <si>
    <t>21f4a3d24142021f5ac9990df481128a358c88afbe0e65bed2714e0d8ba741b7</t>
  </si>
  <si>
    <t>24ee79621dbf0eed211a4c01075637ff475e766822d52105aed6ef92d5ae81e7</t>
  </si>
  <si>
    <t>11d2c55502f841ac3d2c5c9d23348319d368e166d76af06498da4c4bd5ef7e83</t>
  </si>
  <si>
    <t>aef22050d9d0c9c04b31417e8d17415239847cd2b4f0b0010265a9a2261368eb</t>
  </si>
  <si>
    <t>5a1106a954a34a68d7655fd3114f0f8854501159f28c4c43d52ee69d2561f852</t>
  </si>
  <si>
    <t>f3d99c0db5449980ac699a2ef199f23eaff5c4808e5f5ec601922b62da939830</t>
  </si>
  <si>
    <t>2092db8fa7b1c7c1facd32157dc0deaddf316e12f67d5f4eddfb2135663c8ed4</t>
  </si>
  <si>
    <t>01e96e066eff2e82627dac0493737be2de9bd2f50d6d498bb6420906c7164c05</t>
  </si>
  <si>
    <t>f13ef30924d9e20a8f54dc58ad638694be404a98000c388cadb97d41fd18b15e</t>
  </si>
  <si>
    <t>6be598179d8e68ef732257b8de5f85523abc10ebe027a4a8501670b3e61490fc</t>
  </si>
  <si>
    <t>3568b95554d7b990289169b9eec3ab615228f845fcdf9cbd71bbb4994cd93a7e</t>
  </si>
  <si>
    <t>89514970e1e20297947c37a1755c21674098a34e20a2aae5995c7b8b4028859e</t>
  </si>
  <si>
    <t>f19c99fbe5a835630d6c1f9c0bd31609a99d100f3dcadeddc3473da0ee7a0205</t>
  </si>
  <si>
    <t>db91ad08a11ff41dfb6d61127b0d561b3ae0e5ed10395e6cb3f25372ebdd6d0b</t>
  </si>
  <si>
    <t>2d67f378787ef0d9249858e62cf661911d5eadf100662e2a590b8086d87b3518</t>
  </si>
  <si>
    <t>f4b74579b24f01184daa9edb1156247211fb4f6b67b8ec3b81814e8eeb8791fd</t>
  </si>
  <si>
    <t>814a76822c53611d1be66ef1f7a93c9a98a1a7d82e18234c0582a9a2040a319c</t>
  </si>
  <si>
    <t>257bcb82ac5a481a11654e40bf2a244aae7d108fd7b43545c8023b1289ffc718</t>
  </si>
  <si>
    <t>769d89fa68d5e578dd0f4592fc821f0f6abbaf1033147533ec0f6c4d8e6c6c2e</t>
  </si>
  <si>
    <t>6a0df1d84e433375ec7966810d37e6b3ce1d544a2c45f8e2723efbfe41a81185</t>
  </si>
  <si>
    <t>5d734055d34325b8555585971e61749072749fe0dd403b352327766c9565a3d4</t>
  </si>
  <si>
    <t>8c0906fd5efd19b24aa04cb58ff5d90de07a4507ab16207d901e51cec04e1d85</t>
  </si>
  <si>
    <t>a93225fd1f7ce130f94e7ab6e4784eeb6e080b9396bfb658085528b517e39757</t>
  </si>
  <si>
    <t>da2ab409e3aba646903b562a3345e2f8fff81667aaba3879a1155c38612e7ac9</t>
  </si>
  <si>
    <t>97b90813f7f65e2bc5da97e487ad3fdccd2c535dde981f56eb9fa65df89f09e1</t>
  </si>
  <si>
    <t>c340795ecfb6a9a8b2c5645fee8a298cf8b72faaffd737d7fe11880114eef4e5</t>
  </si>
  <si>
    <t>f44c5e0a30d5deb361269102ae90c47064e59c34af27b3dcc610c74ae5ad926e</t>
  </si>
  <si>
    <t>912cdef31b10a5d8886fedd1cb940e3a506126f7c11fbda7202c62b4edb1596b</t>
  </si>
  <si>
    <t>449937d5271942b2d0c07fc71449158bee6643ea7d7ac857b9830d6116b8a310</t>
  </si>
  <si>
    <t>0bbbf3e0b4f05fd3d09b737b923eaed3066fd9b00f5b6a037b3a6ab360dad66c</t>
  </si>
  <si>
    <t>41c3080c5f248cfc29a94b2c08f3bf85bd76feca895c6424fe528a4f32f68297</t>
  </si>
  <si>
    <t>cc85c37cc89ca6e99038e1f8bc4201ab2cb7573d16d73e5d3dbc97789d16b856</t>
  </si>
  <si>
    <t>9b01ed1b37bb289049750901e55a93a4f206af3b94ce505699381e0df2ca01b2</t>
  </si>
  <si>
    <t>fd928febd4e90f39aa15d8f4f70215bbc4e20e5c40d245628c6f8e73f7b4d16a</t>
  </si>
  <si>
    <t>9f9e98ca9eca96eb316a42c215c5d7391f7b544e2793176224f4fd0027fb9269</t>
  </si>
  <si>
    <t>14540c305603b931be46726208aae2f2bdde7974a4bab9ca6cbb345b571c959c</t>
  </si>
  <si>
    <t>6a5b01acb5938854fb9425824d8b66d0b236e11bcf8085e016fde962fa5a7366</t>
  </si>
  <si>
    <t>19700138aba73d2a48b106fe7c2d72ed0b8f228906e7f41e266664a91b451a54</t>
  </si>
  <si>
    <t>d6fcfbd13c5259904b825be40714b27269384a2e540184e009430238487e889c</t>
  </si>
  <si>
    <t>4084d3cef1c2290e1892fc32ffc6a6aa14c4d3fcc067a67710b66e7ef3acef0d</t>
  </si>
  <si>
    <t>d8a9220e637c9a7b377eabb60059a170c30384f5704c0e81a49f31788d470c98</t>
  </si>
  <si>
    <t>eb98b9223adb4684635bb18017ede6721bd5acf041aefea49eb611ab89c489ad</t>
  </si>
  <si>
    <t>c47ebe72dc3a2893a15174a6c093f4acad7a077df6fa698b3d4c316d8b2ab325</t>
  </si>
  <si>
    <t>2086b883938e4bc640227dc92935bcb8862c2fe6523a4cf6f5996fb761530d0b</t>
  </si>
  <si>
    <t>d3cb38860bb2775f1e807bfe8b1610f03016ac63c6b08977188c85ad3f979ceb</t>
  </si>
  <si>
    <t>de771b0a105c84a902ca9ac461758439ca7b838a2b95f6a13afad160a9d7fd39</t>
  </si>
  <si>
    <t>d7508e75bd7e54d88e3668085557bbbb459453ab26ec03646bafb7625075cd24</t>
  </si>
  <si>
    <t>65a2b2417007ae40ce1b56f68fdfdbd38e1d85021864f41e7b9ce18a9d40f17e</t>
  </si>
  <si>
    <t>4a444e27b858bf82025d0b344afbd88305265b408c399956e235cd17727db3b4</t>
  </si>
  <si>
    <t>2b0607c49f2d11be55e2e00304d8ac144a5900bb82d1b5d9b1a2405de57193d1</t>
  </si>
  <si>
    <t>5e343daf8dbc5830a280addbd51c369e21a7633c9818bffb3bd4fceaa6cd9b91</t>
  </si>
  <si>
    <t>dab25eed9d9d31a84b5f08cca8271deebaa1b69d2902cb2031ca82f985e09576</t>
  </si>
  <si>
    <t>33679030a680f82f27c52195f2df9309d0d846d440cc31ac591a01297bb9b6b1</t>
  </si>
  <si>
    <t>30aae560ce0a3972dc3f50351720e01b23781624046c4cc447523790793cdccd</t>
  </si>
  <si>
    <t>a559ffbbf797ae704128bdc877cc92716fb9da80d0c9f0ec6e42c23e4652d0f8</t>
  </si>
  <si>
    <t>117a01c81c6ec62f7b6d2b97ea41f349a1f2b57f713e3065c1576abab742ea46</t>
  </si>
  <si>
    <t>f429e88015e43d43626052e8601b4c7215afaf3f23181ed677fa698fbee2a91d</t>
  </si>
  <si>
    <t>58d15b072ff2a6593f6d28a2d335006deb119f7a88b83f0f04b913231aea4c14</t>
  </si>
  <si>
    <t>fabe1f519ce6f051ce768bda372a3e32059c13ea3f191380b04a004b83caa61b</t>
  </si>
  <si>
    <t>2c9fa506526e2b23545345c0a1efe9c815b2c429078b653fe4bea62113636a9b</t>
  </si>
  <si>
    <t>19b3277cda3fe10ec63ecd0517453b399e386ea3a475c891f3a2e7b55c246fba</t>
  </si>
  <si>
    <t>1a0e91f519c0393d7d327f110988b2358b5fb944149f79840d417a0d279a7033</t>
  </si>
  <si>
    <t>171bb8faae3a5b2d210aaf5d57da0ea8dee2d4d05d6760d33aac71861d9a1cc2</t>
  </si>
  <si>
    <t>dea7966ebd885a67ecc64194d61d09fed744b8619a5c553ca40c79205e3362b3</t>
  </si>
  <si>
    <t>e03561822ee2eb2da08d5f6f890830660cfd611e01677a2cf70b09fb6ff4673e</t>
  </si>
  <si>
    <t>c24628e0c17541c8eb1047d754441068030a058892e09b1e2281c6ab162a6252</t>
  </si>
  <si>
    <t>cd0612712f91182ead3aaf4339a2f2779c5bc8abb6c6336ed0a8c66530144b9c</t>
  </si>
  <si>
    <t>ff4cfd98fc176f36fa99b2bc839990d2fd13de4e59b5c4aed8f3ccb1962d249f</t>
  </si>
  <si>
    <t>4208d3bf74a956f3eae084d69b195b09a132a8b7ca3034e20a5968cd5069ca5a</t>
  </si>
  <si>
    <t>c96a5d8ae5170d9ab1ece6a261b881357860a04dc8d76bc2ca0619cc4d4787ea</t>
  </si>
  <si>
    <t>3dd595f1c364df95de6a2779dbdf8cb0c660db26823bfffc83262cab4f0bf48d</t>
  </si>
  <si>
    <t>269ff40c212993b357d07bfcee0ee3ef1b9c246c8088f739fc5d692625d0536b</t>
  </si>
  <si>
    <t>29a2de3c53a0710f4668b8f6124dba329a0a717b691cc03156a76febf4f5bacf</t>
  </si>
  <si>
    <t>a130e617c531c4fc301d851ec5e2c416924de5c393fd355aa4d1fd60886308f0</t>
  </si>
  <si>
    <t>d78fb37bf1fe8f75aac3574abb02a6af48c1e5de152a400b1fbf6e7237e7fa4a</t>
  </si>
  <si>
    <t>62387ab8fdba76cc516bdbbaca2765132990182f1d0464ae4ebbb4804d555c4e</t>
  </si>
  <si>
    <t>4a4ab02bfece06b8e9d88299cfff8b2df4c71cb1a3b77d327fbf01da0ecb4987</t>
  </si>
  <si>
    <t>74bd25fbd2615c3e3611fbf2a559a6eb770e9d846fffa3a31f9be97ce316864c</t>
  </si>
  <si>
    <t>e37bb12ed96a158b0a1050ba31f1b9c1fad4b32772f7ba057b96a6df90c2205c</t>
  </si>
  <si>
    <t>59f2772aca8841b648b639f06ea61c875e56429d850688ab68e3caa8a9ce9230</t>
  </si>
  <si>
    <t>4b36c56a1a588b01a543da0d4a8091b10ff3f5e1f4a8c4cb531405e51e47d23e</t>
  </si>
  <si>
    <t>cb9c781c1377cf1efb68cb9ed6a56076672fc54f47d35adda6a211d23655d118</t>
  </si>
  <si>
    <t>c60dc7a742e43b815ba4c4f14ae3efd67b9ffc810c971c92a48a3b3cbc6d5919</t>
  </si>
  <si>
    <t>f4d906c345eef030a0d881ef52bba910c24630febc66ea83ab51337796574ec8</t>
  </si>
  <si>
    <t>17111411f938d9a2cc954eeaa5a6f8d675929b11c07168f5d59a4e58fc140b48</t>
  </si>
  <si>
    <t>70c18da6f06c6019e8911fef1496654f45df0fdd83a53367b94f03f028e357de</t>
  </si>
  <si>
    <t>c7b796ac04b2f8db027f6a7f45dd803df85918a8b62494790efa974beaf3838c</t>
  </si>
  <si>
    <t>c7eebe4bcc4f85762fa3ddbb203411f48f8a0f05ed163ddb5e6c38e5f1d24531</t>
  </si>
  <si>
    <t>120c591b0e4c359e86472f0277aba65125a0e102b24630520b7670b9b7b1d9a5</t>
  </si>
  <si>
    <t>18cff3f609168fc4bf5e7df1869409cb4026387a8530d8bc522fdeba67576fb6</t>
  </si>
  <si>
    <t>ebb4be3fcc3b29c9cabf0007dfe142b7cdbcb54fda0e9950b7018ce04c4d692d</t>
  </si>
  <si>
    <t>2fb0f5c78100f8b718dc32b6582ef9e998b041716a0629e2917ac2c01c5a44e2</t>
  </si>
  <si>
    <t>8ee6af2e8d2b4ccf84705f72f9aee941ccc549586ada07edc240441026599eb1</t>
  </si>
  <si>
    <t>8e1d0f77637db1a526c5ea32811ac905bc0edf833f27383617d0e92137c311c8</t>
  </si>
  <si>
    <t>092f648c8f4deefbd5a15a17825410afefdde05a559fea8c487245797e3f3b27</t>
  </si>
  <si>
    <t>c225c8dca6a511c7d7cd7e90387054ff2eb038204ac60e3d886bfd9843c06434</t>
  </si>
  <si>
    <t>4c4aca72fe030fe5563fb249ce9152645d4e7a98f00fde37c62d7f0a4b78780d</t>
  </si>
  <si>
    <t>9807fe182f3dc6252a470df9020a7a9041c9c2c07a8b5c5f3f64fdee9b9db3c3</t>
  </si>
  <si>
    <t>94a080ccc68a9af23abc6e73036cdfbac704e4a51b312cab20a422e059196d14</t>
  </si>
  <si>
    <t>1403518ce5c6beb4b9b3ce77105c7fe32cd2520aed96f2124f56858098693244</t>
  </si>
  <si>
    <t>df5f291bbd4aec1a0eff72c784f64e101413d82f8609d68c713dd7e8be202316</t>
  </si>
  <si>
    <t>3f57d30cb362467414c813ee622bf15dbbd626b10fd86592199539611547cc5a</t>
  </si>
  <si>
    <t>6dfd9d97502d751109e542d97716cf9a38a444ec1e8cbf874c61db1d334fb231</t>
  </si>
  <si>
    <t>66315ff24583d48c4bc24a5d45d6cfcc13d6f6ff54c3f5ceb7db8694ae75c9d2</t>
  </si>
  <si>
    <t>599efafe1ee22c8ae0d531c08a7919660730bd5c7e5c055f926a492d0d32d15c</t>
  </si>
  <si>
    <t>f8bb8ac0d0154c94f2a489b32ef5035239939cede87f998e2599dba7fe378ab6</t>
  </si>
  <si>
    <t>d885bb7273fb4e746e84afc627f57884681464d304c0d487efee6b49df9620a2</t>
  </si>
  <si>
    <t>98e4c2dd19e0d5bb0d49167121617491082888de5c68db37eb6b6410c40e2d06</t>
  </si>
  <si>
    <t>e75e44aab1778ede624cb4eb316397c4e287b0f76299050d2ac110662629f77f</t>
  </si>
  <si>
    <t>938eb3a8b8482b9a5ea52ae013fff264dcb1b4c02a64ac9c39ce3c476be2ffce</t>
  </si>
  <si>
    <t>eeadbdae5c93dc632d3b4567ed3e770f164526a9d957a113e1aa07c1dca54f4c</t>
  </si>
  <si>
    <t>d0b78ae235e484b144a0b229ef70c8ac2fd796c86aa4d314c3a5bf393dc9ee11</t>
  </si>
  <si>
    <t>f0a761fb34823e9ac759ee98975c615eebf22a1745a01de4b26cdf5b1aab26af</t>
  </si>
  <si>
    <t>0d4ffc8959a9277ed564ffa0be4fa178fc778a551acea42c7b477a06545e5764</t>
  </si>
  <si>
    <t>2111bfba5699b3c98ce0857b7c6addbb85365d9d0e0ee156d5e6431ff5f5138e</t>
  </si>
  <si>
    <t>a1355ec991906ace648901e6fc977691e092d5f5dfebc678289c2a68e731c8d5</t>
  </si>
  <si>
    <t>98f2cbf89ca9e35caeba21247085fffbf9f2ba20ca1fb5eee71d97295acb384b</t>
  </si>
  <si>
    <t>488e7f64166c2e857c7a8c30c495984ba63faddc7646bebe0cac48319b6b4a17</t>
  </si>
  <si>
    <t>3e202088a0f6c909bd3cfe90eb3217d09828f13c78f9198e7ca8e9fd7c2346a1</t>
  </si>
  <si>
    <t>08f436c2b6962c5a4e083d443715d94da0d3a54c21d025783f5da882205b521a</t>
  </si>
  <si>
    <t>16f38c9409d1652e79f9e6bc1b17605416787f67c1a5822c984a63c21eabd743</t>
  </si>
  <si>
    <t>80cab1ce32c301533be0f55f91468a6bd0dc014abc98a56a4fb7f4828dbfe73f</t>
  </si>
  <si>
    <t>ced739e4e1a362fc62756d77256feff26dd7710998469ff13eb02104da2038d2</t>
  </si>
  <si>
    <t>e8f1be077a6689592c2f7fa35d56f723b873d6600bbe49eb04908770d9e783c1</t>
  </si>
  <si>
    <t>b6d1c1a2a9ceb6f2fe941cb2f5ce2a4c9f178b1f99e12966a31544030d689915</t>
  </si>
  <si>
    <t>8ef51b9a6ccf7c102010b64120f80a7e12e2c85e72d23bb6a5e7f17ea691093a</t>
  </si>
  <si>
    <t>7e617933097884285054b322c76d243d4a210695dcbfcaa83da337f15bac3b7e</t>
  </si>
  <si>
    <t>44f98305d8141153036b7a868b6d3e301a408c441ffb1e6b7540ac7771125e1d</t>
  </si>
  <si>
    <t>ffc3b91c3744d275e99f49e105f016732d694a76314d8cd50f25e49a0b67edc6</t>
  </si>
  <si>
    <t>9f4b5abbe2f093cb1d0bdedd6522643c44c7532ee6bb1b20f0b7d9b80adc140c</t>
  </si>
  <si>
    <t>8489b8668e001e627849ab14970d7c6debfe93d58351c826d6300c22114573c6</t>
  </si>
  <si>
    <t>d6420a4ee44bc345c7bf3a2efbab98e08a4727016df8e8d6bb8375d0a23a8c72</t>
  </si>
  <si>
    <t>807aa59e21f46f6ca52a49dbdc4ff1b58a9e238db54b494a63321654d158c0e9</t>
  </si>
  <si>
    <t>603b719e6471994bdf33806120a875c35f2e50eca461afc38d3349744fed1523</t>
  </si>
  <si>
    <t>b673e054a9c64d69cfb8dc56e028d129e4a5ed88dd2e6accf107182f7756c332</t>
  </si>
  <si>
    <t>3d3ce5a7f0af95c6a2b8bb6e20cd9f348a8fc9ebf70c178f44f77d7fd97f3988</t>
  </si>
  <si>
    <t>709635bebab736333367c7bca08fa9c12cf33c6b545144515f0a216431b46b5f</t>
  </si>
  <si>
    <t>db847180fec2988d054039d7d6565531195880d3918d6ee9402e335e6be9408d</t>
  </si>
  <si>
    <t>f355a2a07982341bcafda00ed2abb604504fdc5295686db581aa2070fb518b3e</t>
  </si>
  <si>
    <t>78d5895c4f5d7d4efde22983b4b710dbee0c928cbea6ae21affa0e925ac3df73</t>
  </si>
  <si>
    <t>dc9a34cf6e3874933863dbb1d060e9fad475adc9e0927a6d33e2452d1526125d</t>
  </si>
  <si>
    <t>2a8a36c089cd1496e33ac575235d75b159f8c3ee9aa282c2d6f360aa08cb6dd0</t>
  </si>
  <si>
    <t>5d8f70bd6845bb11e5e533b38a03d26b56f00096d8cec1c1411ac5b9c31b0ba4</t>
  </si>
  <si>
    <t>8eaeced73616477f79c100bb6c71bf34e2e292ae1320adc6620d98b7dd852c97</t>
  </si>
  <si>
    <t>4887493a4c162023900f9a757f005b44a190e6013e8cfe41fae1324ad26aff63</t>
  </si>
  <si>
    <t>350b154fe2ab6eab25424af7cf5dd0a2a324a7853b9b56c9792a7278eb102323</t>
  </si>
  <si>
    <t>090e9df6cea280094ad11cf71385d27c1badc3396add08ff163af9cab4184ff1</t>
  </si>
  <si>
    <t>e2c64c308270b70f26817bd91b48a6dc114f46bf34566ce6d3ec38d8052cb1ec</t>
  </si>
  <si>
    <t>ff86d28801139f82f29ac25c715647674d50977478b8d8469bb07a55cfafa043</t>
  </si>
  <si>
    <t>9d6a95a44978b54531ff886fbc804fd7fb16556610f5d7cda0e20841e8a6fc78</t>
  </si>
  <si>
    <t>dcc0e3c61cf760b864cace141492a9c0458a3af0e67f63a19c31875b5b777f07</t>
  </si>
  <si>
    <t>5bf51d9d557047465e7df540ed0bba927d10ca876cb6dea1ca203b3578e22749</t>
  </si>
  <si>
    <t>420ae6e6934b0e972b1be3faba699f2e7a920227c7947089f4e85b73f739c6c3</t>
  </si>
  <si>
    <t>bc936a5c28b8adc029346c5de72dd91b78f5101bda51d6631648d15e84d1bd23</t>
  </si>
  <si>
    <t>1c74dd0c87312999b28efb7af3aed752614eb8cc7e8fa5523e4f4441aaf4f64a</t>
  </si>
  <si>
    <t>f1c628caab4033afe87dd9b46443ae53b44ca1fc35dc6268f423531d02dcb0ab</t>
  </si>
  <si>
    <t>0461c96c9cc0058f709704605f24136f373ba4e9ac083a1157d0976f1b6e8419</t>
  </si>
  <si>
    <t>c80ce14c9557948735506042bc724190d056b1ab66b5dac4e2ae3c87b31ca0b1</t>
  </si>
  <si>
    <t>f70822cd6df70ca803faab8f3ced1db0f050468f31dcfedc1a20ad578382da45</t>
  </si>
  <si>
    <t>097f7a6103e61039a9dadac5e7d7eb65aa451121de8b30ad2a147c5aafb440c7</t>
  </si>
  <si>
    <t>efc39ac763d948ff0a93ddc34ad240851cb48f1fcf52de934697aeb78d033071</t>
  </si>
  <si>
    <t>fa02750bf6f9eb536fbbeade8fe7bbc22648f59dabe562a4e32b8a58c4d3d1ff</t>
  </si>
  <si>
    <t>5876d6b16f56408be737f35e84f06d5ece4d77728aec511387189fcaf90ab8e6</t>
  </si>
  <si>
    <t>c58e4714a03093fccf1fd914aff61ef2d0b0c24eea4a89635b5f8d74953c6058</t>
  </si>
  <si>
    <t>8ca014518f3c9f5207cbf67c729fda24fd56bfe6808d113f96c6138757784b77</t>
  </si>
  <si>
    <t>60b6b4248d890504734beb13a2cc6574d9d4dc7bae94c84898d2a83ad80d68af</t>
  </si>
  <si>
    <t>b7214630d2a3008ffaeaefb61f0c42181fe57bbda882a201339a668d02eae47c</t>
  </si>
  <si>
    <t>2a50ac545f30b02200c4f18f694ce7e0ce691e9f509c38d8beebf3b4dd046b53</t>
  </si>
  <si>
    <t>f4972b61ad2f1c8822cfb700c14259accc67203e071bfe0ab462fa45013214d5</t>
  </si>
  <si>
    <t>31b69aaaba9a335ba0261babc8396d24d0af8f580d5f6192e6040ad649c78593</t>
  </si>
  <si>
    <t>d274893c31d10ef0bc342e59f149963ffff586f70cbf6c8b59325bf97415f62e</t>
  </si>
  <si>
    <t>9c1ee8df1c0a91f0259f13024069c7fd8d7601df3b4b305f358bd8ce161aedb2</t>
  </si>
  <si>
    <t>4b0e6319833596d58072abae8af94102ae54198c1385145eede5e55b2e94ae8a</t>
  </si>
  <si>
    <t>f0ad6b55a43d50cd0b3fa2f6750275e11cc44176cc9984200f6d6ff6a3c5631f</t>
  </si>
  <si>
    <t>690ef8482b21fa77fdf533db95daa5559db82ef7106ee5514dd0cbff9efeb769</t>
  </si>
  <si>
    <t>78ef135cef6cb29d44b91beb545a2a78dbdbc0a981735bad98640318a1b80b9b</t>
  </si>
  <si>
    <t>4b9d476385096c42149ad8a1b35edf317f99c9d61ffc348d8950ab0c31cf543f</t>
  </si>
  <si>
    <t>a1a4b0c316442b879083c61343bcb56ce2233230e64fc4f874ec0f232b2aea68</t>
  </si>
  <si>
    <t>0abe1b008e37697d60391129deac748704d6105881949c60dff38453777ffb43</t>
  </si>
  <si>
    <t>f2b2d2b023f71e791c2644201fa62b2dcf6c78d7402d774a552d5b7b20f02ad3</t>
  </si>
  <si>
    <t>e20c996edc342b0e8fe4abe8a1b4373ae040e36b367cf6188e43d04950b7f6c6</t>
  </si>
  <si>
    <t>4d34572db62871b8fed75a40eaf827867044b536a795be11eac1a1ac78c909b7</t>
  </si>
  <si>
    <t>a5f6e28cca214fb60a873fd4b27ea02bbef08b5bde05f4ba831b790a54a2435c</t>
  </si>
  <si>
    <t>5d9f9703addb3ca96358f6e54fc8e93cbbd462e886cef2d450e4edd2e53367fb</t>
  </si>
  <si>
    <t>dfafe84b27c1097ac79831f5ee8fcb79c84bd2079709c327141de09549db4d73</t>
  </si>
  <si>
    <t>5cf32f9151895f7869e8af1d91c81444a0d3157ad5f4484dcbcab8a29d6bc6ac</t>
  </si>
  <si>
    <t>4433080be68eabdd338bda9c8c30bee3fc1f696b6212f13bcb77721e1d738c7a</t>
  </si>
  <si>
    <t>fd3422d11e9fdacf030f74df8a97aef973337371c49d6746fa29e06a4e54888b</t>
  </si>
  <si>
    <t>39c6aa59ad63e9299ccc79651cdfdb45b84559308e246d42dd9c0afe04931d3b</t>
  </si>
  <si>
    <t>bfed65e0ee3b331187d31bd503dcbad42f17bf749b37c34f64cf8bbc3007073c</t>
  </si>
  <si>
    <t>798001d1fa1a0831f5bca0b644c70c03a31b7491cb51bf0c872a470ba434c8de</t>
  </si>
  <si>
    <t>dea69a3afb734ba56e0465a463c3c6c5cd4c852cb165c1dd960ba91a4038a53d</t>
  </si>
  <si>
    <t>10e19a731f11c88176364d6ac435b630c522b5acbb234bb07adccf8efd540b9c</t>
  </si>
  <si>
    <t>3dfcfacbb1498f304ff7e39552626c8b5578a4d4ec265756b2b5db6b7083fcfd</t>
  </si>
  <si>
    <t>5a8bbd7a0887dfcfee9cd1f97e7ba9e568741cb632f3121b5b7d4f3e90e85b79</t>
  </si>
  <si>
    <t>a5cbc7664ddb2af6fbcdae5b4477be47e3b3ebdf327bd9626ee1a972eab6fb26</t>
  </si>
  <si>
    <t>a4961676983a10f9ed67219d049b3165dcde4dd74aa3594f3e8fa2abcc32426d</t>
  </si>
  <si>
    <t>c220777a3969d97f8c08265becbb6fcd9bddfab7c48456e450fed01101f16a76</t>
  </si>
  <si>
    <t>e9ef91d2836a3d6a880c71604dda2bc5cf97836539864ee1a7da3221c3843df7</t>
  </si>
  <si>
    <t>bc62c7cd2cb19dae74f15b14964b6eb3942104662a21d5ba91eac861ea67bbe2</t>
  </si>
  <si>
    <t>720652a25d4ab67f2e7d9fa3b13023e92f3f21024e2157034de2773d5583053d</t>
  </si>
  <si>
    <t>45c08529fc638c300feeb27a726d997626694ac3793087acc34e51f0a6e170e8</t>
  </si>
  <si>
    <t>d74ad8f7c64819b319003126f9a7d68263aff159db0388c359cfbfb46e263e96</t>
  </si>
  <si>
    <t>896ba209d8b0c5cdfdacb8b2d45dae08ba41a114dde0bc6ac633dd8a772d66f3</t>
  </si>
  <si>
    <t>72912d3e1bed520f38d91a588343df13dface79dc26911a4541d894d69c1a6a7</t>
  </si>
  <si>
    <t>5a703f620dbab029a3ac801c3fc85ef4327a5f0a751b852f650bf14b9b44459b</t>
  </si>
  <si>
    <t>75de81c20d6f96afffc7becf1d76612842635a9c70167b482e233540738a97e5</t>
  </si>
  <si>
    <t>4b9647fd16286b9d48f8957d016408d48324837a2dc4726070225737e5764791</t>
  </si>
  <si>
    <t>7e93bf8ba9708c55865983f7a83a39ac766ee84bccbb1df4d9f9a37e7b3bdb43</t>
  </si>
  <si>
    <t>1274deb6dd5637d775d619b4b2449b40dd2179007cb88f0e36b1ccf91f18dd6e</t>
  </si>
  <si>
    <t>15c5366a784c8d6598742c335e8b43b08f1942248cfd1c1ca6dd8bca414aac97</t>
  </si>
  <si>
    <t>164d9a5499b7224c7fcbed2f0b76c8041bd544beb86187837dbc3837a78506ea</t>
  </si>
  <si>
    <t>c92956e2fca1ca7ed686bda9b6fc3d11a9e75795107d24b4df9333b5818c4b5a</t>
  </si>
  <si>
    <t>a6f99abe2d52a509eb868425a9083db9a1f0c168236d30acbc9c1af82bee2e3f</t>
  </si>
  <si>
    <t>2ffb606aea8bd4eef9727bf7981c9005a53d3cf6e71d9728f4b1b857bf402e9a</t>
  </si>
  <si>
    <t>31b11d75b4a9a6d590424f3421ca62cccd2f2cd81855c0851712ce03213627ac</t>
  </si>
  <si>
    <t>0d38364f7e61ffa23af02082de12cb8c5786cddea6f83ae2156aa0cb41ec5509</t>
  </si>
  <si>
    <t>07c8b5fb98feb87d3ee0c873b94852d521cf159de84010db6455466d6e6b52cf</t>
  </si>
  <si>
    <t>7a6026fd215e0059f3d620352b64b05a944244be51bbf22adc94eab05648a6d9</t>
  </si>
  <si>
    <t>a10a30e09a154b3836e02982d35e6ed375b3e7b28b0b9c3be317078823e0645a</t>
  </si>
  <si>
    <t>1ec64cfe094fceca729f1241b83dde22ed39131b6494448919af8cb2308cc0f3</t>
  </si>
  <si>
    <t>c8f2ba8a3b50884964255d406a7f4c232ec3efe6c021514cd273a4c1726dbfd2</t>
  </si>
  <si>
    <t>b38b4152f7aa7e5d4cc14966d15e1671b57bc61845d758b5ad3992d783cff806</t>
  </si>
  <si>
    <t>2b3914caff931aa5015d0eb4aaafd67d3bdfdd372af2fba048c8bacd98896fdc</t>
  </si>
  <si>
    <t>a0d71096e1d00f354dc73285a2857d8c102850e4ded62fb515f6d2a857e2d8b9</t>
  </si>
  <si>
    <t>5f1183e16dafd122ced695b93e88ae02e9f396ed43ba8fd6ec0dbd993eaf8521</t>
  </si>
  <si>
    <t>3e5bc8253fdf89efe4e527be1f12228e3c08f488ddcb89fca66342206d94c21d</t>
  </si>
  <si>
    <t>d1d635ae1d95cf0b57cba7b6bff6d45b693428120d558da8747c3a0887190d23</t>
  </si>
  <si>
    <t>f0dced10510747eeee05ecf186c421f025d256f9870b17e7fb2335463ae079ac</t>
  </si>
  <si>
    <t>47d6fa4dc8d5f007836a2fefd0f13ee0525a09ff49264081f042460c2d34939f</t>
  </si>
  <si>
    <t>321ceeadc24ba2a88fba401927295f3c972429fcf3873d45a5cd9134279987cb</t>
  </si>
  <si>
    <t>b2a86b80a5c45b9984072faf901f8f575e7c2884dc2188e770a0dfbb1677011c</t>
  </si>
  <si>
    <t>9c8737c4d7c6be323f9cca6d673c3b7bdc7c6ed14bf93f7028c4794a90dd2d2b</t>
  </si>
  <si>
    <t>9d0ab0bd68f282cccbcc15239cb561b3eb795501fa9b5ada282ba9ef66d11c06</t>
  </si>
  <si>
    <t>014604ba54339d4b1266cf78e125053a5ac11dd861ef3cc0b4ed777ed0e2af0a</t>
  </si>
  <si>
    <t>be42cc28c4a3e5675539645ce90caa0d1a62b727d8ff787c2a55738108e24067</t>
  </si>
  <si>
    <t>4e1fbe2dc68185ae4dfd0ce8f794b4018f88602a9dcfe0567a1f4b28bff1110a</t>
  </si>
  <si>
    <t>24dcd2add1dae7e58c63cdb26cee768e08c609bab1b2e74f9872a8b1ecf5a87c</t>
  </si>
  <si>
    <t>aacfa383279c3315e3ceca1c24001612eae1e4b1a43330f2fa02fd448184748a</t>
  </si>
  <si>
    <t>15e7a100916541060e16055751255f31e525b2bc2efcedc3081955d8aa18193b</t>
  </si>
  <si>
    <t>f760a203bac325e547a23dd4a2f26a4109aadbeb44408262aea01f937e3a397e</t>
  </si>
  <si>
    <t>072db31ce670255297c5d67fd00068faf81a7f50223b5a5af0f555aa69815fe0</t>
  </si>
  <si>
    <t>0c65552abe0d2731c2f0bcde5e3885e7b364b17ae9396a91fbf7d3970ce00378</t>
  </si>
  <si>
    <t>831b82415f26f781c76d0c7427052516715d67868ec0faeaeffbb459f438c040</t>
  </si>
  <si>
    <t>f9a8ea52803b55fada3310dd43a447a99dc03507c2607b06de916f5141da831a</t>
  </si>
  <si>
    <t>91f4b01a80c26aa9a1fb14e48590dc76c949dc800166da4e8c7f86d5085b9a8c</t>
  </si>
  <si>
    <t>3cb67a933d12398e70b2725fb801a8834eecdf236a06ce510c4b0fc9332ed37e</t>
  </si>
  <si>
    <t>4b8100007af443512c1dd509a1342436f9b963be101587975be2764314d0ca68</t>
  </si>
  <si>
    <t>f90a856f26ac85aa8d9964fd692f94ca3c196fb21ffb78ddc64c384f19de95d9</t>
  </si>
  <si>
    <t>8b18f5693d6822beefe70802cad008f0b0232654ea218fbce90ad8d6631c3a74</t>
  </si>
  <si>
    <t>d948777e9b3046b61a365c5cff2d3b1ad308bfb4d2ee0854558617ca8eeac395</t>
  </si>
  <si>
    <t>a760753ae6f157dc0a1ec4605604231d91dcf2e1ef4470ca3dbbe91cbb24c044</t>
  </si>
  <si>
    <t>44d672753c127edb16541ef7388a9308087224b97a2e63469e3c0dbb93da30e8</t>
  </si>
  <si>
    <t>d36a68faa57e320ce1eaff6a6def575a5337ee480ceab78d2bfc79c986e31760</t>
  </si>
  <si>
    <t>8e3904b8617f72128e381f7c47cffbfcce6e89ae1d265cef9d41361539b6d930</t>
  </si>
  <si>
    <t>8c47875987c7407e6f060ddc413ab2f1ec8b5473085578e448ad4e40fa5a8864</t>
  </si>
  <si>
    <t>9374207ccca084d388afce33e317d946326f30de271a7aeb78dcdac9c272a2b7</t>
  </si>
  <si>
    <t>a8fe4ea49ae559b638cbfe1199ef8800b747a66a58a1bc39cb10c8ed4508944a</t>
  </si>
  <si>
    <t>8ca8b188568d5d438d080b69a0b279aeaa39c96bd88d60119842f9a6b609c421</t>
  </si>
  <si>
    <t>fbb2114bce5532072b39ce9c805ea99509830cc0c4c36b58ea813398307284ed</t>
  </si>
  <si>
    <t>314e5c52ec835e5c1b1832b3e1a51d45713ba0307bd9ca8fb86cb95e7ddcafe0</t>
  </si>
  <si>
    <t>71bee40f7f97afa9b8cf069df923fa444e07b495f1736e1f9e23863fd894297c</t>
  </si>
  <si>
    <t>9de214703fa773e7cec3011c821477e05e32c1c3d4eab44ec9b842eb71efab53</t>
  </si>
  <si>
    <t>88004885e79469596988ec6d6e8061843d12c39516326f4366b93059bf2e5e19</t>
  </si>
  <si>
    <t>c602660fc0ddd630f6a203a3d61742439eb7d3c4c33d31ccb57e410bbb67e844</t>
  </si>
  <si>
    <t>775c788e8a2f5f576ff0ee9289715b7dee98ea7c23ae8479ecb0461c09d5c0ff</t>
  </si>
  <si>
    <t>bc1fc1980b744f6ddef463c42fe1a38facfc6bab71fd00d339b19943d55c3136</t>
  </si>
  <si>
    <t>783d2e787e0734118d21fb09957c03c8ccc292d3cd70fb690faa98f6a6cc9739</t>
  </si>
  <si>
    <t>511425f1125b98b09c7b636c27a56b0be1fff185717d5233144fd02ddf0cddab</t>
  </si>
  <si>
    <t>4aec718f8185e90a5b0cf97a85857e677103220e78b5ed3c18da8b1e16d40b95</t>
  </si>
  <si>
    <t>79a7e9a5c619f2779d2e17ca557372d9f837457160fccee08e7c0ff5f851de9a</t>
  </si>
  <si>
    <t>c3b000875e19cdb87af3a1f4f1201b93b27c421f93754d5944e248f626e555e8</t>
  </si>
  <si>
    <t>f933272f6c291384b9d3d937a7fb4122ebf5a47fd9362ef3b8f6213f2b0660dc</t>
  </si>
  <si>
    <t>fe545219144abfb405c64d3fed4f32dc348ece7afb0a814e646ef2f17e69bc7d</t>
  </si>
  <si>
    <t>98d77a2b714b28f705c31ae807ec9dc0e2e5415b10f7bd6f8791f061b9508e83</t>
  </si>
  <si>
    <t>6269c7359593be379dd4d205e5a26a060242995f18689f94d78d85120725e51f</t>
  </si>
  <si>
    <t>ErrorQuotient</t>
  </si>
  <si>
    <t>CompileCount</t>
  </si>
  <si>
    <t>SessionCount</t>
  </si>
  <si>
    <t>CompileSuccessRate</t>
  </si>
  <si>
    <t>FracLong</t>
  </si>
  <si>
    <t>MeanTestScore</t>
  </si>
  <si>
    <t>CompileSpanMinutes</t>
  </si>
  <si>
    <t>MinutesFromGlobalFirstCompile</t>
  </si>
  <si>
    <t>MinutesToGlobalLastCompile</t>
  </si>
  <si>
    <t>MinutesToScore1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</si>
</sst>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Aptos Narrow"/>
    </font>
    <font>
      <u/>
      <color rgb="FF0000FF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1" fillId="2" fontId="4" numFmtId="2" xfId="0" applyAlignment="1" applyBorder="1" applyFill="1" applyFont="1" applyNumberFormat="1">
      <alignment horizontal="center" readingOrder="0"/>
    </xf>
    <xf borderId="1" fillId="2" fontId="4" numFmtId="0" xfId="0" applyAlignment="1" applyBorder="1" applyFont="1">
      <alignment horizontal="center" readingOrder="0"/>
    </xf>
    <xf borderId="0" fillId="3" fontId="5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6" numFmtId="0" xfId="0" applyAlignment="1" applyFill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5" fontId="6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2" fillId="0" fontId="4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10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Mean_Test par rapport à Mean_Test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Graphes!$K$1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Graphes!$J$2:$J$13</c:f>
            </c:strRef>
          </c:cat>
          <c:val>
            <c:numRef>
              <c:f>Graphes!$K$2:$K$13</c:f>
              <c:numCache/>
            </c:numRef>
          </c:val>
        </c:ser>
        <c:axId val="1847615049"/>
        <c:axId val="1985436116"/>
      </c:barChart>
      <c:catAx>
        <c:axId val="1847615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Mean_Test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436116"/>
      </c:catAx>
      <c:valAx>
        <c:axId val="1985436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Mean_Test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615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285750</xdr:colOff>
      <xdr:row>0</xdr:row>
      <xdr:rowOff>180975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1000" sheet="Graphes"/>
  </cacheSource>
  <cacheFields>
    <cacheField name="EQ" numFmtId="0">
      <sharedItems containsString="0" containsBlank="1" containsNumber="1">
        <n v="0.0"/>
        <n v="0.8"/>
        <n v="0.1"/>
        <n v="0.5"/>
        <n v="0.7"/>
        <n v="0.3"/>
        <n v="0.4"/>
        <n v="0.2"/>
        <n v="1.0"/>
        <n v="0.6"/>
        <n v="0.9"/>
        <m/>
      </sharedItems>
    </cacheField>
    <cacheField name="RED" numFmtId="0">
      <sharedItems containsString="0" containsBlank="1" containsNumber="1">
        <n v="0.0"/>
        <n v="0.6"/>
        <n v="0.1"/>
        <n v="0.4"/>
        <n v="0.2"/>
        <n v="0.5"/>
        <n v="0.3"/>
        <n v="0.8"/>
        <n v="0.7"/>
        <n v="0.9"/>
        <m/>
      </sharedItems>
    </cacheField>
    <cacheField name="Comp_Count" numFmtId="0">
      <sharedItems containsString="0" containsBlank="1" containsNumber="1" containsInteger="1">
        <n v="4.0"/>
        <n v="1.0"/>
        <n v="5.0"/>
        <n v="29.0"/>
        <n v="16.0"/>
        <n v="15.0"/>
        <n v="18.0"/>
        <n v="17.0"/>
        <n v="59.0"/>
        <n v="10.0"/>
        <n v="2.0"/>
        <n v="13.0"/>
        <n v="32.0"/>
        <n v="14.0"/>
        <n v="30.0"/>
        <n v="11.0"/>
        <n v="26.0"/>
        <n v="9.0"/>
        <n v="6.0"/>
        <n v="7.0"/>
        <n v="27.0"/>
        <n v="20.0"/>
        <n v="60.0"/>
        <n v="23.0"/>
        <n v="25.0"/>
        <n v="21.0"/>
        <n v="12.0"/>
        <n v="24.0"/>
        <n v="22.0"/>
        <n v="8.0"/>
        <n v="31.0"/>
        <n v="3.0"/>
        <n v="36.0"/>
        <n v="19.0"/>
        <n v="33.0"/>
        <m/>
      </sharedItems>
    </cacheField>
    <cacheField name="Sess_Count" numFmtId="0">
      <sharedItems containsString="0" containsBlank="1" containsNumber="1" containsInteger="1">
        <n v="1.0"/>
        <n v="4.0"/>
        <n v="2.0"/>
        <n v="5.0"/>
        <n v="3.0"/>
        <n v="6.0"/>
        <m/>
      </sharedItems>
    </cacheField>
    <cacheField name="Comp_FP_Ratio" numFmtId="0">
      <sharedItems containsString="0" containsBlank="1" containsNumber="1">
        <n v="1.0"/>
        <n v="0.0"/>
        <n v="0.2"/>
        <n v="0.9"/>
        <n v="0.8"/>
        <n v="0.4"/>
        <n v="0.6"/>
        <n v="0.7"/>
        <n v="0.3"/>
        <n v="0.5"/>
        <n v="0.1"/>
        <m/>
      </sharedItems>
    </cacheField>
    <cacheField name="Frac_Long" numFmtId="0">
      <sharedItems containsString="0" containsBlank="1" containsNumber="1">
        <n v="0.0"/>
        <n v="0.1"/>
        <n v="0.3"/>
        <n v="0.2"/>
        <n v="0.7"/>
        <n v="0.4"/>
        <n v="0.5"/>
        <m/>
      </sharedItems>
    </cacheField>
    <cacheField name="Mean_Test" numFmtId="0">
      <sharedItems containsString="0" containsBlank="1" containsNumber="1">
        <n v="1.0"/>
        <n v="0.0"/>
        <n v="0.2"/>
        <n v="0.9"/>
        <n v="0.7"/>
        <n v="0.4"/>
        <n v="0.8"/>
        <n v="0.3"/>
        <n v="0.1"/>
        <n v="0.5"/>
        <n v="0.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phes" cacheId="0" dataCaption="" rowGrandTotals="0" compact="0" compactData="0">
  <location ref="J1:K9" firstHeaderRow="0" firstDataRow="1" firstDataCol="0"/>
  <pivotFields>
    <pivotField name="E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p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ss_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p_FP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rac_Long" axis="axisRow" dataField="1" compact="0" outline="0" multipleItemSelectionAllowed="1" showAll="0" sortType="ascending">
      <items>
        <item x="7"/>
        <item x="0"/>
        <item x="1"/>
        <item x="3"/>
        <item x="2"/>
        <item x="5"/>
        <item x="6"/>
        <item x="4"/>
        <item t="default"/>
      </items>
    </pivotField>
    <pivotField name="Mean_T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dataFields>
    <dataField name="COUNTA of Frac_Long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hWyNPvVA0wxsjDZThVlXPWPGLRQ6aDOo" TargetMode="External"/><Relationship Id="rId42" Type="http://schemas.openxmlformats.org/officeDocument/2006/relationships/hyperlink" Target="https://drive.google.com/uc?export=view&amp;id=1R7muAS7VYcQoOla3ePjUl2qd10sPRFs2" TargetMode="External"/><Relationship Id="rId41" Type="http://schemas.openxmlformats.org/officeDocument/2006/relationships/hyperlink" Target="https://drive.google.com/uc?export=view&amp;id=1USaItoX-BQ80z_wNRZ1QDfKFac8RIleI" TargetMode="External"/><Relationship Id="rId44" Type="http://schemas.openxmlformats.org/officeDocument/2006/relationships/hyperlink" Target="https://drive.google.com/uc?export=view&amp;id=1wtiKQdmQbJ-E2kanCE1bWpVidTz6k8yK" TargetMode="External"/><Relationship Id="rId43" Type="http://schemas.openxmlformats.org/officeDocument/2006/relationships/hyperlink" Target="https://drive.google.com/uc?export=view&amp;id=1x-L9XHxf_0kh1A_mrVkE0dlKeyNsKgTS" TargetMode="External"/><Relationship Id="rId46" Type="http://schemas.openxmlformats.org/officeDocument/2006/relationships/hyperlink" Target="https://drive.google.com/uc?export=view&amp;id=1AaldctBMFq5f772W-98vle90hOUkR-5F" TargetMode="External"/><Relationship Id="rId45" Type="http://schemas.openxmlformats.org/officeDocument/2006/relationships/hyperlink" Target="https://drive.google.com/uc?export=view&amp;id=1HV2JGLQV-mnF6Tp3rWmXyzAlEBxWPxir" TargetMode="External"/><Relationship Id="rId107" Type="http://schemas.openxmlformats.org/officeDocument/2006/relationships/hyperlink" Target="https://drive.google.com/uc?export=view&amp;id=1sORU1zJDu870Wyh-nPPQG2k2DAIZyL0g" TargetMode="External"/><Relationship Id="rId106" Type="http://schemas.openxmlformats.org/officeDocument/2006/relationships/hyperlink" Target="https://drive.google.com/uc?export=view&amp;id=1TgnYoAzhn1GWS6pzSB1zMGaAI-2cg_R7" TargetMode="External"/><Relationship Id="rId105" Type="http://schemas.openxmlformats.org/officeDocument/2006/relationships/hyperlink" Target="https://drive.google.com/uc?export=view&amp;id=1WdtTR31fXRtucZnquOmGJxOxjA5V3_kV" TargetMode="External"/><Relationship Id="rId104" Type="http://schemas.openxmlformats.org/officeDocument/2006/relationships/hyperlink" Target="https://drive.google.com/uc?export=view&amp;id=108qZFHc4ZfjmsfaXMOJv4JCpCL6e9ore" TargetMode="External"/><Relationship Id="rId109" Type="http://schemas.openxmlformats.org/officeDocument/2006/relationships/hyperlink" Target="https://drive.google.com/uc?export=view&amp;id=1KfztLZV8rNLHJh4oyRV-QKcKVuelFzW-" TargetMode="External"/><Relationship Id="rId108" Type="http://schemas.openxmlformats.org/officeDocument/2006/relationships/hyperlink" Target="https://drive.google.com/uc?export=view&amp;id=1MTqZ_Nj9mqeIvE4nfpYwBKqEgrJh2DBJ" TargetMode="External"/><Relationship Id="rId48" Type="http://schemas.openxmlformats.org/officeDocument/2006/relationships/hyperlink" Target="https://drive.google.com/uc?export=view&amp;id=1BrFR-IgTLzgT1wITEtGasX_gQpbjEH5r" TargetMode="External"/><Relationship Id="rId47" Type="http://schemas.openxmlformats.org/officeDocument/2006/relationships/hyperlink" Target="https://drive.google.com/uc?export=view&amp;id=1dG--sOmJ0umUjJWtFC_lEiS1CwFlsu57" TargetMode="External"/><Relationship Id="rId49" Type="http://schemas.openxmlformats.org/officeDocument/2006/relationships/hyperlink" Target="https://drive.google.com/uc?export=view&amp;id=1kLx9ggx_Krl9CN7Q88-rIczxgrgrA_5O" TargetMode="External"/><Relationship Id="rId103" Type="http://schemas.openxmlformats.org/officeDocument/2006/relationships/hyperlink" Target="https://drive.google.com/uc?export=view&amp;id=1GAdl7zAz7C9SRN3ySP31KMtm7V9vgwLT" TargetMode="External"/><Relationship Id="rId102" Type="http://schemas.openxmlformats.org/officeDocument/2006/relationships/hyperlink" Target="https://drive.google.com/uc?export=view&amp;id=1kGDURubbZnMQBffB5PB9_0yLDQAf-JuI" TargetMode="External"/><Relationship Id="rId101" Type="http://schemas.openxmlformats.org/officeDocument/2006/relationships/hyperlink" Target="https://drive.google.com/uc?export=view&amp;id=1C30CoYtZ8BIgj3VfmW8KGu86ehY8hm69" TargetMode="External"/><Relationship Id="rId100" Type="http://schemas.openxmlformats.org/officeDocument/2006/relationships/hyperlink" Target="https://drive.google.com/uc?export=view&amp;id=1tRwhAije6NsZlNRB2MNS1iJeADpNxhlR" TargetMode="External"/><Relationship Id="rId31" Type="http://schemas.openxmlformats.org/officeDocument/2006/relationships/hyperlink" Target="https://drive.google.com/uc?export=view&amp;id=10n7uGJKsxa7H38YTGZbMaGPJLLB1KnUg" TargetMode="External"/><Relationship Id="rId30" Type="http://schemas.openxmlformats.org/officeDocument/2006/relationships/hyperlink" Target="https://drive.google.com/uc?export=view&amp;id=1FqHI3Fq25wkts8Z4WtJCdNTLMhtr0Lnu" TargetMode="External"/><Relationship Id="rId33" Type="http://schemas.openxmlformats.org/officeDocument/2006/relationships/hyperlink" Target="https://drive.google.com/uc?export=view&amp;id=1-wmBBtdLSFewLnjp5Llf4TlVViqUSIu8" TargetMode="External"/><Relationship Id="rId32" Type="http://schemas.openxmlformats.org/officeDocument/2006/relationships/hyperlink" Target="https://drive.google.com/uc?export=view&amp;id=1Sd5yz_i_HruDxUoeK0cKmkHGQWQ9MaSe" TargetMode="External"/><Relationship Id="rId35" Type="http://schemas.openxmlformats.org/officeDocument/2006/relationships/hyperlink" Target="https://drive.google.com/uc?export=view&amp;id=1nxwPD6l19H9RfD1beYZagQq6RADqS3hg" TargetMode="External"/><Relationship Id="rId34" Type="http://schemas.openxmlformats.org/officeDocument/2006/relationships/hyperlink" Target="https://drive.google.com/uc?export=view&amp;id=1Kscqr5nCPSEQRRULICFx3A9qxuG_41NW" TargetMode="External"/><Relationship Id="rId37" Type="http://schemas.openxmlformats.org/officeDocument/2006/relationships/hyperlink" Target="https://drive.google.com/uc?export=view&amp;id=1-YWQEw-ntfurCrSZ4yEJEYBolKn2c3Yp" TargetMode="External"/><Relationship Id="rId36" Type="http://schemas.openxmlformats.org/officeDocument/2006/relationships/hyperlink" Target="https://drive.google.com/uc?export=view&amp;id=14xCI4jAQbPhylo07sHgW9d88P3mmmfAq" TargetMode="External"/><Relationship Id="rId39" Type="http://schemas.openxmlformats.org/officeDocument/2006/relationships/hyperlink" Target="https://drive.google.com/uc?export=view&amp;id=1VqAurQtPwqQfvLkXhDcl_r4MbtoeyO8k" TargetMode="External"/><Relationship Id="rId38" Type="http://schemas.openxmlformats.org/officeDocument/2006/relationships/hyperlink" Target="https://drive.google.com/uc?export=view&amp;id=1SgSDsUM_bSFsvK6JNJ2IU_rXxNOXvQrk" TargetMode="External"/><Relationship Id="rId20" Type="http://schemas.openxmlformats.org/officeDocument/2006/relationships/hyperlink" Target="https://drive.google.com/uc?export=view&amp;id=144AJqTuMMv0ZKkig6o_ZIYpFg8LOuj0e" TargetMode="External"/><Relationship Id="rId22" Type="http://schemas.openxmlformats.org/officeDocument/2006/relationships/hyperlink" Target="https://drive.google.com/uc?export=view&amp;id=1Z4DIsPVzsVnApF2scNzN8DPqpN1MfTI3" TargetMode="External"/><Relationship Id="rId21" Type="http://schemas.openxmlformats.org/officeDocument/2006/relationships/hyperlink" Target="https://drive.google.com/uc?export=view&amp;id=1r6fTNtFvRptovcIH_T05QD_kSo7PHoUB" TargetMode="External"/><Relationship Id="rId24" Type="http://schemas.openxmlformats.org/officeDocument/2006/relationships/hyperlink" Target="https://drive.google.com/uc?export=view&amp;id=1dzXAtkCKzRhScU7sPg31ATEeip_3pFQD" TargetMode="External"/><Relationship Id="rId23" Type="http://schemas.openxmlformats.org/officeDocument/2006/relationships/hyperlink" Target="https://drive.google.com/uc?export=view&amp;id=1rVVzscQ4uR7h1vj5LsSX0k6UWmcpZvJx" TargetMode="External"/><Relationship Id="rId129" Type="http://schemas.openxmlformats.org/officeDocument/2006/relationships/hyperlink" Target="https://drive.google.com/uc?export=view&amp;id=1ZS8pt0wCGELJlJna5e7vdqjcjwl3K5_F" TargetMode="External"/><Relationship Id="rId128" Type="http://schemas.openxmlformats.org/officeDocument/2006/relationships/hyperlink" Target="https://drive.google.com/uc?export=view&amp;id=18EQKY1CABCMU_wzKaB72FanwOpjvtdtR" TargetMode="External"/><Relationship Id="rId127" Type="http://schemas.openxmlformats.org/officeDocument/2006/relationships/hyperlink" Target="https://drive.google.com/uc?export=view&amp;id=11bSmQnG0pWzlGUN-uzyoucOGp1RQM1i2" TargetMode="External"/><Relationship Id="rId126" Type="http://schemas.openxmlformats.org/officeDocument/2006/relationships/hyperlink" Target="https://drive.google.com/uc?export=view&amp;id=1qt6B8KGvC4D5dtRoo9pSR4zz1t91Sacf" TargetMode="External"/><Relationship Id="rId26" Type="http://schemas.openxmlformats.org/officeDocument/2006/relationships/hyperlink" Target="https://drive.google.com/uc?export=view&amp;id=1LD8hExy8sh2GKLZzwzxMhCm6fNLF0Mm9" TargetMode="External"/><Relationship Id="rId121" Type="http://schemas.openxmlformats.org/officeDocument/2006/relationships/hyperlink" Target="https://drive.google.com/uc?export=view&amp;id=1isZEKwNFFweK3HMuzMmCh3shsBfefpR8" TargetMode="External"/><Relationship Id="rId25" Type="http://schemas.openxmlformats.org/officeDocument/2006/relationships/hyperlink" Target="https://drive.google.com/uc?export=view&amp;id=1ihKteDW_BL-vTqx9j_r_iJ1dQiwf1fth" TargetMode="External"/><Relationship Id="rId120" Type="http://schemas.openxmlformats.org/officeDocument/2006/relationships/hyperlink" Target="https://drive.google.com/uc?export=view&amp;id=1zb7Gup7u9pFEDt1cEnqPsl8ulJT5zHn6" TargetMode="External"/><Relationship Id="rId28" Type="http://schemas.openxmlformats.org/officeDocument/2006/relationships/hyperlink" Target="https://drive.google.com/uc?export=view&amp;id=1_HJYcYRx_KlTTKC-NIq-gg2b_VPp2e0h" TargetMode="External"/><Relationship Id="rId27" Type="http://schemas.openxmlformats.org/officeDocument/2006/relationships/hyperlink" Target="https://drive.google.com/uc?export=view&amp;id=1vpczQ1s_q5qk6jstHxFCSRctjJPmK1dt" TargetMode="External"/><Relationship Id="rId125" Type="http://schemas.openxmlformats.org/officeDocument/2006/relationships/hyperlink" Target="https://drive.google.com/uc?export=view&amp;id=1LrDT_B5n3TrJX6r80Y5MKlIlLuqx-0dJ" TargetMode="External"/><Relationship Id="rId29" Type="http://schemas.openxmlformats.org/officeDocument/2006/relationships/hyperlink" Target="https://drive.google.com/uc?export=view&amp;id=1ja8oi67QySbQ4FLFohsXiSwauivGpqro" TargetMode="External"/><Relationship Id="rId124" Type="http://schemas.openxmlformats.org/officeDocument/2006/relationships/hyperlink" Target="https://drive.google.com/uc?export=view&amp;id=1trC62vdzPddnMpL0UAFUe_LRPWRyOdF_" TargetMode="External"/><Relationship Id="rId123" Type="http://schemas.openxmlformats.org/officeDocument/2006/relationships/hyperlink" Target="https://drive.google.com/uc?export=view&amp;id=1sPLSIKtMGx75GVGMsWwMS_eu6bHQcLWe" TargetMode="External"/><Relationship Id="rId122" Type="http://schemas.openxmlformats.org/officeDocument/2006/relationships/hyperlink" Target="https://drive.google.com/uc?export=view&amp;id=1C5WPu8QW-emy4CZ7AbRJR9rKC321-hll" TargetMode="External"/><Relationship Id="rId95" Type="http://schemas.openxmlformats.org/officeDocument/2006/relationships/hyperlink" Target="https://drive.google.com/uc?export=view&amp;id=1UNQCPOeY7QTVny3Xtxah8qoWJZNxr0F9" TargetMode="External"/><Relationship Id="rId94" Type="http://schemas.openxmlformats.org/officeDocument/2006/relationships/hyperlink" Target="https://drive.google.com/uc?export=view&amp;id=1S8IidZBJdlNO4ibbK4dO4Gdioc0rdljb" TargetMode="External"/><Relationship Id="rId97" Type="http://schemas.openxmlformats.org/officeDocument/2006/relationships/hyperlink" Target="https://drive.google.com/uc?export=view&amp;id=1lchBEfwdRE9lb6X5MnzB6mAqNOgcKZ8l" TargetMode="External"/><Relationship Id="rId96" Type="http://schemas.openxmlformats.org/officeDocument/2006/relationships/hyperlink" Target="https://drive.google.com/uc?export=view&amp;id=1MRi8g6wye_7jVJR9_3De7oxESvwSgHoH" TargetMode="External"/><Relationship Id="rId11" Type="http://schemas.openxmlformats.org/officeDocument/2006/relationships/hyperlink" Target="https://drive.google.com/uc?export=view&amp;id=1VQkWbGoDtVwfSjgSid6KysDJ0WS6qX1q" TargetMode="External"/><Relationship Id="rId99" Type="http://schemas.openxmlformats.org/officeDocument/2006/relationships/hyperlink" Target="https://drive.google.com/uc?export=view&amp;id=1hwYPQ_dUxpBrB02ZBkyNCfRjvDmGJRZZ" TargetMode="External"/><Relationship Id="rId10" Type="http://schemas.openxmlformats.org/officeDocument/2006/relationships/hyperlink" Target="https://drive.google.com/uc?export=view&amp;id=1AnmwvJ-MlOSJeUWbNoxheVtFxTpSig8v" TargetMode="External"/><Relationship Id="rId98" Type="http://schemas.openxmlformats.org/officeDocument/2006/relationships/hyperlink" Target="https://drive.google.com/uc?export=view&amp;id=1-UY3XmxPxEu1RihxL1MBINxruuhPpva7" TargetMode="External"/><Relationship Id="rId13" Type="http://schemas.openxmlformats.org/officeDocument/2006/relationships/hyperlink" Target="https://drive.google.com/uc?export=view&amp;id=10_wKn7e2W2rSFVjPyMqCRwB5NwCGArCX" TargetMode="External"/><Relationship Id="rId12" Type="http://schemas.openxmlformats.org/officeDocument/2006/relationships/hyperlink" Target="https://drive.google.com/uc?export=view&amp;id=1XG9Y_vhZ8dfJjVRTzJkR4T1t2-OBWp6z" TargetMode="External"/><Relationship Id="rId91" Type="http://schemas.openxmlformats.org/officeDocument/2006/relationships/hyperlink" Target="https://drive.google.com/uc?export=view&amp;id=1vcDXNmIRfpjCkH8mB1l4VGSAWZQ-235f" TargetMode="External"/><Relationship Id="rId90" Type="http://schemas.openxmlformats.org/officeDocument/2006/relationships/hyperlink" Target="https://drive.google.com/uc?export=view&amp;id=1nZ7KjaIM3yzNGcxNK_SJHBvC9VK4ldUk" TargetMode="External"/><Relationship Id="rId93" Type="http://schemas.openxmlformats.org/officeDocument/2006/relationships/hyperlink" Target="https://drive.google.com/uc?export=view&amp;id=1MKIKgdPRsQtU1eZxstZo_pymUpDRYYIE" TargetMode="External"/><Relationship Id="rId92" Type="http://schemas.openxmlformats.org/officeDocument/2006/relationships/hyperlink" Target="https://drive.google.com/uc?export=view&amp;id=1f5efNff1_VHTdnWGHBb9oyiD9DHu-nDA" TargetMode="External"/><Relationship Id="rId118" Type="http://schemas.openxmlformats.org/officeDocument/2006/relationships/hyperlink" Target="https://drive.google.com/uc?export=view&amp;id=125_nAfUpJXegSZXCFIdOgjW4FGvd8If2" TargetMode="External"/><Relationship Id="rId117" Type="http://schemas.openxmlformats.org/officeDocument/2006/relationships/hyperlink" Target="https://drive.google.com/uc?export=view&amp;id=1_oD6aK6IksPVXg22N9sJlLTyjkXLLHvw" TargetMode="External"/><Relationship Id="rId116" Type="http://schemas.openxmlformats.org/officeDocument/2006/relationships/hyperlink" Target="https://drive.google.com/uc?export=view&amp;id=1OFfC2-PtY0j7kXcJ5W4BtAMnx2E_udx_" TargetMode="External"/><Relationship Id="rId115" Type="http://schemas.openxmlformats.org/officeDocument/2006/relationships/hyperlink" Target="https://drive.google.com/uc?export=view&amp;id=180mkIQ0YjuGihxCSvGEvDyHVl6FCIznz" TargetMode="External"/><Relationship Id="rId119" Type="http://schemas.openxmlformats.org/officeDocument/2006/relationships/hyperlink" Target="https://drive.google.com/uc?export=view&amp;id=1OQPxunuXyzoladj358gyA0J7cWj8hKOD" TargetMode="External"/><Relationship Id="rId15" Type="http://schemas.openxmlformats.org/officeDocument/2006/relationships/hyperlink" Target="https://drive.google.com/uc?export=view&amp;id=1Ora42oQeqLNaKmQYAyoyT9JzVzNvA2rw" TargetMode="External"/><Relationship Id="rId110" Type="http://schemas.openxmlformats.org/officeDocument/2006/relationships/hyperlink" Target="https://drive.google.com/uc?export=view&amp;id=1KhS4FL8JsEv2UlIy1-QxU2hKaazyQlvh" TargetMode="External"/><Relationship Id="rId14" Type="http://schemas.openxmlformats.org/officeDocument/2006/relationships/hyperlink" Target="https://drive.google.com/uc?export=view&amp;id=1kLhHhAEVsaNyDWLI8-TIdFpBxf8alHnq" TargetMode="External"/><Relationship Id="rId17" Type="http://schemas.openxmlformats.org/officeDocument/2006/relationships/hyperlink" Target="https://drive.google.com/uc?export=view&amp;id=1poUyOxCa1XHz3bTp_wJ8ean8DWsozfq2" TargetMode="External"/><Relationship Id="rId16" Type="http://schemas.openxmlformats.org/officeDocument/2006/relationships/hyperlink" Target="https://drive.google.com/uc?export=view&amp;id=1sE8VnB4wfIBeDUzJe64rSZ2Cc4frwYje" TargetMode="External"/><Relationship Id="rId19" Type="http://schemas.openxmlformats.org/officeDocument/2006/relationships/hyperlink" Target="https://drive.google.com/uc?export=view&amp;id=1ObwCQOYT1i0ZAwHaeevv91bgqr5Tnfg-" TargetMode="External"/><Relationship Id="rId114" Type="http://schemas.openxmlformats.org/officeDocument/2006/relationships/hyperlink" Target="https://drive.google.com/uc?export=view&amp;id=1TNicVcDBPpQ5xDCkYAVQ4E2TAO8xmaj9" TargetMode="External"/><Relationship Id="rId18" Type="http://schemas.openxmlformats.org/officeDocument/2006/relationships/hyperlink" Target="https://drive.google.com/uc?export=view&amp;id=1S4ZDsbNQVPEouk9hQ77am7X4TK8WvTpo" TargetMode="External"/><Relationship Id="rId113" Type="http://schemas.openxmlformats.org/officeDocument/2006/relationships/hyperlink" Target="https://drive.google.com/uc?export=view&amp;id=1hOEpmHONP2yIGJi8RQ9sw2-xFMqPGK99" TargetMode="External"/><Relationship Id="rId112" Type="http://schemas.openxmlformats.org/officeDocument/2006/relationships/hyperlink" Target="https://drive.google.com/uc?export=view&amp;id=18xY08YjkO7BwXUwMHGkVPzUC0ijZJoeA" TargetMode="External"/><Relationship Id="rId111" Type="http://schemas.openxmlformats.org/officeDocument/2006/relationships/hyperlink" Target="https://drive.google.com/uc?export=view&amp;id=1sy69csSjy5xCN92K8KoMsM7RxATl_3g2" TargetMode="External"/><Relationship Id="rId84" Type="http://schemas.openxmlformats.org/officeDocument/2006/relationships/hyperlink" Target="https://drive.google.com/uc?export=view&amp;id=1sYKlfjPAzIf7pKZldzOcRdd8zRu1lGqC" TargetMode="External"/><Relationship Id="rId83" Type="http://schemas.openxmlformats.org/officeDocument/2006/relationships/hyperlink" Target="https://drive.google.com/uc?export=view&amp;id=1T0BXBVd2WEA0rN6Nsr040TtJHURtL0se" TargetMode="External"/><Relationship Id="rId86" Type="http://schemas.openxmlformats.org/officeDocument/2006/relationships/hyperlink" Target="https://drive.google.com/uc?export=view&amp;id=1boprvg52jz6DUjrhMm3fTaAr8Ssf99vW" TargetMode="External"/><Relationship Id="rId85" Type="http://schemas.openxmlformats.org/officeDocument/2006/relationships/hyperlink" Target="https://drive.google.com/uc?export=view&amp;id=1rsDtebJyUsc44D4azSN_1tatCsc4z1dx" TargetMode="External"/><Relationship Id="rId88" Type="http://schemas.openxmlformats.org/officeDocument/2006/relationships/hyperlink" Target="https://drive.google.com/uc?export=view&amp;id=1VL4c-d4O-yiBWWNmldRSJBMlKzGmetZ8" TargetMode="External"/><Relationship Id="rId87" Type="http://schemas.openxmlformats.org/officeDocument/2006/relationships/hyperlink" Target="https://drive.google.com/uc?export=view&amp;id=1Yu1VNIyh00VY0qz0F_SRTFrtl5eLAGmY" TargetMode="External"/><Relationship Id="rId89" Type="http://schemas.openxmlformats.org/officeDocument/2006/relationships/hyperlink" Target="https://drive.google.com/uc?export=view&amp;id=1JBbWCHh77B7AFb50OBlUvv7RBZNP1_mz" TargetMode="External"/><Relationship Id="rId80" Type="http://schemas.openxmlformats.org/officeDocument/2006/relationships/hyperlink" Target="https://drive.google.com/uc?export=view&amp;id=1EFnExG5fZ-NLFcaXn0b9OWk8PNUH8qe7" TargetMode="External"/><Relationship Id="rId82" Type="http://schemas.openxmlformats.org/officeDocument/2006/relationships/hyperlink" Target="https://drive.google.com/uc?export=view&amp;id=1LMx0ph-z-_iOcVg2kOfIWcypZQfXqIA1" TargetMode="External"/><Relationship Id="rId81" Type="http://schemas.openxmlformats.org/officeDocument/2006/relationships/hyperlink" Target="https://drive.google.com/uc?export=view&amp;id=1uG7f9LEw4Tgmf2x_G-CSaBlN4yCuZ9mV" TargetMode="External"/><Relationship Id="rId1" Type="http://schemas.openxmlformats.org/officeDocument/2006/relationships/hyperlink" Target="https://drive.google.com/uc?export=view&amp;id=1sqxqnWOgA9xGrBD_KPn0FgabZKt4e_sz" TargetMode="External"/><Relationship Id="rId2" Type="http://schemas.openxmlformats.org/officeDocument/2006/relationships/hyperlink" Target="https://drive.google.com/uc?export=view&amp;id=1mQzUxNKLRJqIuVE3cBUo7q9u66CQ8yyb" TargetMode="External"/><Relationship Id="rId3" Type="http://schemas.openxmlformats.org/officeDocument/2006/relationships/hyperlink" Target="https://drive.google.com/uc?export=view&amp;id=1gd-7RXch1_OvHkd-pK3FzzlzLMWII7wb" TargetMode="External"/><Relationship Id="rId4" Type="http://schemas.openxmlformats.org/officeDocument/2006/relationships/hyperlink" Target="https://drive.google.com/uc?export=view&amp;id=11RCN-6hGf4HEGM_ct7C7coTvx7HjYy5h" TargetMode="External"/><Relationship Id="rId9" Type="http://schemas.openxmlformats.org/officeDocument/2006/relationships/hyperlink" Target="https://drive.google.com/uc?export=view&amp;id=1CPZUsUfkqkXiirbd0qxkTlaKBWSVtfuD" TargetMode="External"/><Relationship Id="rId5" Type="http://schemas.openxmlformats.org/officeDocument/2006/relationships/hyperlink" Target="https://drive.google.com/uc?export=view&amp;id=1qsP1dapjN-fUFeFbQ4phtLJm59XKyZSa" TargetMode="External"/><Relationship Id="rId6" Type="http://schemas.openxmlformats.org/officeDocument/2006/relationships/hyperlink" Target="https://drive.google.com/uc?export=view&amp;id=1S3ZbvfZsseq_zIOlCYdGvD29lZfP8LC1" TargetMode="External"/><Relationship Id="rId7" Type="http://schemas.openxmlformats.org/officeDocument/2006/relationships/hyperlink" Target="https://drive.google.com/uc?export=view&amp;id=1ySMzrJYrKLb_oksDVTc1C6xFUbkBVOWd" TargetMode="External"/><Relationship Id="rId8" Type="http://schemas.openxmlformats.org/officeDocument/2006/relationships/hyperlink" Target="https://drive.google.com/uc?export=view&amp;id=1a01hhWvjKuwD2x7iaTm5qc5HYefFgExu" TargetMode="External"/><Relationship Id="rId73" Type="http://schemas.openxmlformats.org/officeDocument/2006/relationships/hyperlink" Target="https://drive.google.com/uc?export=view&amp;id=1naYrMkREi0PJzgc9bgZeFCm69CA2pI0W" TargetMode="External"/><Relationship Id="rId72" Type="http://schemas.openxmlformats.org/officeDocument/2006/relationships/hyperlink" Target="https://drive.google.com/uc?export=view&amp;id=1jAZtFB12Rl6jbJsP0SUQUV9msGXpS2tU" TargetMode="External"/><Relationship Id="rId75" Type="http://schemas.openxmlformats.org/officeDocument/2006/relationships/hyperlink" Target="https://drive.google.com/uc?export=view&amp;id=1aWxz4CkqXjPSW6kvsDSHIzeZzQdMT1jt" TargetMode="External"/><Relationship Id="rId74" Type="http://schemas.openxmlformats.org/officeDocument/2006/relationships/hyperlink" Target="https://drive.google.com/uc?export=view&amp;id=1VAxERSm6fixG7fkF2k7SKEGugva4DyH1" TargetMode="External"/><Relationship Id="rId77" Type="http://schemas.openxmlformats.org/officeDocument/2006/relationships/hyperlink" Target="https://drive.google.com/uc?export=view&amp;id=1KUYkQ-ntI_NqmCyx1LRq9TmGDjdyUJqE" TargetMode="External"/><Relationship Id="rId76" Type="http://schemas.openxmlformats.org/officeDocument/2006/relationships/hyperlink" Target="https://drive.google.com/uc?export=view&amp;id=1cpBJQeIrZvmHSoWSkVCLqJBwDfgl0htc" TargetMode="External"/><Relationship Id="rId79" Type="http://schemas.openxmlformats.org/officeDocument/2006/relationships/hyperlink" Target="https://drive.google.com/uc?export=view&amp;id=1TCMBbszNEGlsL5VtxrzOMEYelJOIT9FZ" TargetMode="External"/><Relationship Id="rId78" Type="http://schemas.openxmlformats.org/officeDocument/2006/relationships/hyperlink" Target="https://drive.google.com/uc?export=view&amp;id=1o-WHA7KYmRDE9B-j0opRv1mmpESGVSDE" TargetMode="External"/><Relationship Id="rId71" Type="http://schemas.openxmlformats.org/officeDocument/2006/relationships/hyperlink" Target="https://drive.google.com/uc?export=view&amp;id=1O04KDqtItyWS1Wb-hZKH6topLFRMZlv3" TargetMode="External"/><Relationship Id="rId70" Type="http://schemas.openxmlformats.org/officeDocument/2006/relationships/hyperlink" Target="https://drive.google.com/uc?export=view&amp;id=19H3R4zgjHAZiflYsQweOJLmZA10Cc78n" TargetMode="External"/><Relationship Id="rId132" Type="http://schemas.openxmlformats.org/officeDocument/2006/relationships/drawing" Target="../drawings/drawing8.xml"/><Relationship Id="rId131" Type="http://schemas.openxmlformats.org/officeDocument/2006/relationships/hyperlink" Target="https://drive.google.com/uc?export=view&amp;id=1UBntaiZR0fVUj9bHthFJzqO6EB85R_xD" TargetMode="External"/><Relationship Id="rId130" Type="http://schemas.openxmlformats.org/officeDocument/2006/relationships/hyperlink" Target="https://drive.google.com/uc?export=view&amp;id=10G6upqIzq9Xdy9gjMaOJCahZ4-c6knX3" TargetMode="External"/><Relationship Id="rId62" Type="http://schemas.openxmlformats.org/officeDocument/2006/relationships/hyperlink" Target="https://drive.google.com/uc?export=view&amp;id=1k250XgvOOF72FEsWYUjCjr-vWk2rMvCA" TargetMode="External"/><Relationship Id="rId61" Type="http://schemas.openxmlformats.org/officeDocument/2006/relationships/hyperlink" Target="https://drive.google.com/uc?export=view&amp;id=13-e9Hh-YxadlpFGjAtCfZq1t4LldE2sW" TargetMode="External"/><Relationship Id="rId64" Type="http://schemas.openxmlformats.org/officeDocument/2006/relationships/hyperlink" Target="https://drive.google.com/uc?export=view&amp;id=1PwzuPp2VxTtnOGGjL52cSiCJNgHn1YaD" TargetMode="External"/><Relationship Id="rId63" Type="http://schemas.openxmlformats.org/officeDocument/2006/relationships/hyperlink" Target="https://drive.google.com/uc?export=view&amp;id=15Ixz7gRkuWUlEcmqDxujhcHoFK2aMWqh" TargetMode="External"/><Relationship Id="rId66" Type="http://schemas.openxmlformats.org/officeDocument/2006/relationships/hyperlink" Target="https://drive.google.com/uc?export=view&amp;id=1rbHe7QhudbHnymZr_9pBTuKQfrZ2HOxy" TargetMode="External"/><Relationship Id="rId65" Type="http://schemas.openxmlformats.org/officeDocument/2006/relationships/hyperlink" Target="https://drive.google.com/uc?export=view&amp;id=1KwLbqsL-6Q1yoE8G3AwMdnmzLWWbbrjt" TargetMode="External"/><Relationship Id="rId68" Type="http://schemas.openxmlformats.org/officeDocument/2006/relationships/hyperlink" Target="https://drive.google.com/uc?export=view&amp;id=1qYx6YzAd7RoThhzI3dj8xoMiKTgPNNQB" TargetMode="External"/><Relationship Id="rId67" Type="http://schemas.openxmlformats.org/officeDocument/2006/relationships/hyperlink" Target="https://drive.google.com/uc?export=view&amp;id=1U9DtZZk7RfpK6n808zOfKMncNJh84Avf" TargetMode="External"/><Relationship Id="rId60" Type="http://schemas.openxmlformats.org/officeDocument/2006/relationships/hyperlink" Target="https://drive.google.com/uc?export=view&amp;id=1e3etQJ8LUZDBj9jvtlX132eBr56q_dyi" TargetMode="External"/><Relationship Id="rId69" Type="http://schemas.openxmlformats.org/officeDocument/2006/relationships/hyperlink" Target="https://drive.google.com/uc?export=view&amp;id=18PFzE98x-7-38bIQQMeBbQhFyyG9UUtz" TargetMode="External"/><Relationship Id="rId51" Type="http://schemas.openxmlformats.org/officeDocument/2006/relationships/hyperlink" Target="https://drive.google.com/uc?export=view&amp;id=1gOgwzP7D2h0Z1F21fEkAjqfyxVJvT7p-" TargetMode="External"/><Relationship Id="rId50" Type="http://schemas.openxmlformats.org/officeDocument/2006/relationships/hyperlink" Target="https://drive.google.com/uc?export=view&amp;id=1VO-blCnKuEYS9qo8oCv28yM3HgVBDY4k" TargetMode="External"/><Relationship Id="rId53" Type="http://schemas.openxmlformats.org/officeDocument/2006/relationships/hyperlink" Target="https://drive.google.com/uc?export=view&amp;id=1GoH205H7SDSeSRKizC_YohEv3ZGZXxse" TargetMode="External"/><Relationship Id="rId52" Type="http://schemas.openxmlformats.org/officeDocument/2006/relationships/hyperlink" Target="https://drive.google.com/uc?export=view&amp;id=1a6m6qE7T8XN3G9ZzjAeDnpm1xODJVD2W" TargetMode="External"/><Relationship Id="rId55" Type="http://schemas.openxmlformats.org/officeDocument/2006/relationships/hyperlink" Target="https://drive.google.com/uc?export=view&amp;id=1scI44eFWwzPsngWI-y80jrGu65dPSnBY" TargetMode="External"/><Relationship Id="rId54" Type="http://schemas.openxmlformats.org/officeDocument/2006/relationships/hyperlink" Target="https://drive.google.com/uc?export=view&amp;id=1Fp2mbB6QTjzNKyRuAhu51uK9XWGZJ0vs" TargetMode="External"/><Relationship Id="rId57" Type="http://schemas.openxmlformats.org/officeDocument/2006/relationships/hyperlink" Target="https://drive.google.com/uc?export=view&amp;id=1LeI13vNVUwpoOe3aB5qXyzdvDeRMQW9w" TargetMode="External"/><Relationship Id="rId56" Type="http://schemas.openxmlformats.org/officeDocument/2006/relationships/hyperlink" Target="https://drive.google.com/uc?export=view&amp;id=1UbWYqv9Pgk3-DhkNWiWiJWOb7vsKeDrh" TargetMode="External"/><Relationship Id="rId59" Type="http://schemas.openxmlformats.org/officeDocument/2006/relationships/hyperlink" Target="https://drive.google.com/uc?export=view&amp;id=18e8CKNN7uYnEReVwAR_x3SW6-0KRC1ti" TargetMode="External"/><Relationship Id="rId58" Type="http://schemas.openxmlformats.org/officeDocument/2006/relationships/hyperlink" Target="https://drive.google.com/uc?export=view&amp;id=1C0hRWT9xPhxebxS20gdcnONnrFFrHrc8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38"/>
    <col customWidth="1" min="4" max="4" width="2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12.5" customHeight="1">
      <c r="A2" s="3" t="str">
        <f>EQ!A10</f>
        <v>13b34a353ac9ea6554f0bfc998b55f394ed800dfc03b32dc37d311d2551a5749</v>
      </c>
      <c r="B2" s="3">
        <f t="array" ref="B2">XLOOKUP(A2, Notes!A:A, Notes!B:B, "")</f>
        <v>70.71</v>
      </c>
      <c r="C2" s="3" t="str">
        <f>IFERROR(IMAGE(VLOOKUP(A2,DriveImages!A:C,3,FALSE),4,240,520),"")</f>
        <v/>
      </c>
      <c r="D2" s="3" t="str">
        <f>IF($A2="","",IF(AND(N($G2)&lt;=Params!$D$2,N($H2)&lt;=Params!$E$2),"Peu actif",IF(AND(N($I2)&gt;=Params!$F$4,N($E2)&lt;=Params!$B$2,N($F2)&lt;=Params!$C$2),"Efficace",IF(AND(N($F2)&gt;=Params!$C$4,OR(N($I2)&lt;=Params!$F$3,N($E2)&gt;=Params!$B$4)),"Bloqué",IF(AND(OR(N($G2)&gt;=Params!$D$4,N($H2)&gt;=Params!$E$4),N($I2)&lt;=Params!$F$3),"Persévérant",IF(AND(N($J2)&gt;=Params!$G$4,OR(N($G2)&lt;=Params!$D$3,N($H2)&lt;=Params!$E$3)),"Sporadique","Intermédiaire"))))))</f>
        <v>Bloqué</v>
      </c>
      <c r="E2" s="6">
        <f t="array" ref="E2">XLOOKUP(A2, EQ!A:A, EQ!B:B, "")</f>
        <v>0.7222222222</v>
      </c>
      <c r="F2" s="6">
        <f t="array" ref="F2">XLOOKUP(A2, RED!A:A, RED!B:B, "")</f>
        <v>0.61871025</v>
      </c>
      <c r="G2" s="3">
        <f t="shared" ref="G2:G93" si="2">XLOOKUP(A2, INDIRECT("'"&amp;G$1&amp;"'!A:A"), INDIRECT("'"&amp;G$1&amp;"'!B:B"), "")</f>
        <v>59</v>
      </c>
      <c r="H2" s="3">
        <f t="shared" ref="H2:O2" si="1">XLOOKUP($A2, INDIRECT("'"&amp;H$1&amp;"'!A:A"), INDIRECT("'"&amp;H$1&amp;"'!B:B"), "")</f>
        <v>2</v>
      </c>
      <c r="I2" s="3">
        <f t="shared" si="1"/>
        <v>0.1694915254</v>
      </c>
      <c r="J2" s="3">
        <f t="shared" si="1"/>
        <v>0.01724137931</v>
      </c>
      <c r="K2" s="3">
        <f t="shared" si="1"/>
        <v>0.13947741</v>
      </c>
      <c r="L2" s="3">
        <f t="shared" si="1"/>
        <v>0</v>
      </c>
      <c r="M2" s="3">
        <f t="shared" si="1"/>
        <v>51.05</v>
      </c>
      <c r="N2" s="3">
        <f t="shared" si="1"/>
        <v>7.516666667</v>
      </c>
      <c r="O2" s="3">
        <f t="shared" si="1"/>
        <v>18.61666667</v>
      </c>
    </row>
    <row r="3" ht="112.5" customHeight="1">
      <c r="A3" s="3" t="str">
        <f>EQ!A22</f>
        <v>351cff49ce968bd6bb542470c3004131a5042932b5f2cb0e7ea8492770b77485</v>
      </c>
      <c r="B3" s="3">
        <f t="array" ref="B3">XLOOKUP(A3, Notes!A:A, Notes!B:B, "")</f>
        <v>48</v>
      </c>
      <c r="C3" s="3" t="str">
        <f>IFERROR(IMAGE(VLOOKUP(A3,DriveImages!A:C,3,FALSE),4,240,520),"")</f>
        <v/>
      </c>
      <c r="D3" s="3" t="str">
        <f>IF($A3="","",IF(AND(N($G3)&lt;=Params!$D$2,N($H3)&lt;=Params!$E$2),"Peu actif",IF(AND(N($I3)&gt;=Params!$F$4,N($E3)&lt;=Params!$B$2,N($F3)&lt;=Params!$C$2),"Efficace",IF(AND(N($F3)&gt;=Params!$C$4,OR(N($I3)&lt;=Params!$F$3,N($E3)&gt;=Params!$B$4)),"Bloqué",IF(AND(OR(N($G3)&gt;=Params!$D$4,N($H3)&gt;=Params!$E$4),N($I3)&lt;=Params!$F$3),"Persévérant",IF(AND(N($J3)&gt;=Params!$G$4,OR(N($G3)&lt;=Params!$D$3,N($H3)&lt;=Params!$E$3)),"Sporadique","Intermédiaire"))))))</f>
        <v>Sporadique</v>
      </c>
      <c r="E3" s="6">
        <f t="array" ref="E3">XLOOKUP(A3, EQ!A:A, EQ!B:B, "")</f>
        <v>0.3333333333</v>
      </c>
      <c r="F3" s="6">
        <f t="array" ref="F3">XLOOKUP(A3, RED!A:A, RED!B:B, "")</f>
        <v>0.16666667</v>
      </c>
      <c r="G3" s="3">
        <f t="shared" si="2"/>
        <v>5</v>
      </c>
      <c r="H3" s="3">
        <f t="shared" ref="H3:O3" si="3">XLOOKUP($A3, INDIRECT("'"&amp;H$1&amp;"'!A:A"), INDIRECT("'"&amp;H$1&amp;"'!B:B"), "")</f>
        <v>2</v>
      </c>
      <c r="I3" s="3">
        <f t="shared" si="3"/>
        <v>0.4</v>
      </c>
      <c r="J3" s="3">
        <f t="shared" si="3"/>
        <v>0.25</v>
      </c>
      <c r="K3" s="3">
        <f t="shared" si="3"/>
        <v>0.4</v>
      </c>
      <c r="L3" s="3">
        <f t="shared" si="3"/>
        <v>0.03333333333</v>
      </c>
      <c r="M3" s="3">
        <f t="shared" si="3"/>
        <v>8.566666667</v>
      </c>
      <c r="N3" s="3">
        <f t="shared" si="3"/>
        <v>49.96666667</v>
      </c>
      <c r="O3" s="3">
        <f t="shared" si="3"/>
        <v>0.7166666667</v>
      </c>
    </row>
    <row r="4" ht="112.5" customHeight="1">
      <c r="A4" s="3" t="str">
        <f>EQ!A88</f>
        <v>cef23c3f251969f778435219b38afa60f2e41b3927e82fa6d43de8c59f93f883</v>
      </c>
      <c r="B4" s="3">
        <f t="array" ref="B4">XLOOKUP(A4, Notes!A:A, Notes!B:B, "")</f>
        <v>71.09</v>
      </c>
      <c r="C4" s="3" t="str">
        <f>IFERROR(IMAGE(VLOOKUP(A4,DriveImages!A:C,3,FALSE),4,240,520),"")</f>
        <v/>
      </c>
      <c r="D4" s="3" t="str">
        <f>IF($A4="","",IF(AND(N($G4)&lt;=Params!$D$2,N($H4)&lt;=Params!$E$2),"Peu actif",IF(AND(N($I4)&gt;=Params!$F$4,N($E4)&lt;=Params!$B$2,N($F4)&lt;=Params!$C$2),"Efficace",IF(AND(N($F4)&gt;=Params!$C$4,OR(N($I4)&lt;=Params!$F$3,N($E4)&gt;=Params!$B$4)),"Bloqué",IF(AND(OR(N($G4)&gt;=Params!$D$4,N($H4)&gt;=Params!$E$4),N($I4)&lt;=Params!$F$3),"Persévérant",IF(AND(N($J4)&gt;=Params!$G$4,OR(N($G4)&lt;=Params!$D$3,N($H4)&lt;=Params!$E$3)),"Sporadique","Intermédiaire"))))))</f>
        <v>Intermédiaire</v>
      </c>
      <c r="E4" s="6">
        <f t="array" ref="E4">XLOOKUP(A4, EQ!A:A, EQ!B:B, "")</f>
        <v>0.3043478261</v>
      </c>
      <c r="F4" s="6">
        <f t="array" ref="F4">XLOOKUP(A4, RED!A:A, RED!B:B, "")</f>
        <v>0.2173913</v>
      </c>
      <c r="G4" s="3">
        <f t="shared" si="2"/>
        <v>36</v>
      </c>
      <c r="H4" s="3">
        <f t="shared" ref="H4:O4" si="4">XLOOKUP($A4, INDIRECT("'"&amp;H$1&amp;"'!A:A"), INDIRECT("'"&amp;H$1&amp;"'!B:B"), "")</f>
        <v>2</v>
      </c>
      <c r="I4" s="3">
        <f t="shared" si="4"/>
        <v>0.6111111111</v>
      </c>
      <c r="J4" s="3">
        <f t="shared" si="4"/>
        <v>0.02857142857</v>
      </c>
      <c r="K4" s="3">
        <f t="shared" si="4"/>
        <v>0.49802858</v>
      </c>
      <c r="L4" s="3">
        <f t="shared" si="4"/>
        <v>0.1833333333</v>
      </c>
      <c r="M4" s="3">
        <f t="shared" si="4"/>
        <v>43.25</v>
      </c>
      <c r="N4" s="3">
        <f t="shared" si="4"/>
        <v>15.13333333</v>
      </c>
      <c r="O4" s="3">
        <f t="shared" si="4"/>
        <v>13.05</v>
      </c>
    </row>
    <row r="5" ht="112.5" customHeight="1">
      <c r="A5" s="3" t="str">
        <f>EQ!A83</f>
        <v>c547e37e3c5d2add9a3cb5fdeecfbc779e0ee9d6a7dbb489c799cc94e7b9abd2</v>
      </c>
      <c r="B5" s="3">
        <f t="array" ref="B5">XLOOKUP(A5, Notes!A:A, Notes!B:B, "")</f>
        <v>75.94</v>
      </c>
      <c r="C5" s="3" t="str">
        <f>IFERROR(IMAGE(VLOOKUP(A5,DriveImages!A:C,3,FALSE),4,240,520),"")</f>
        <v/>
      </c>
      <c r="D5" s="3" t="str">
        <f>IF($A5="","",IF(AND(N($G5)&lt;=Params!$D$2,N($H5)&lt;=Params!$E$2),"Peu actif",IF(AND(N($I5)&gt;=Params!$F$4,N($E5)&lt;=Params!$B$2,N($F5)&lt;=Params!$C$2),"Efficace",IF(AND(N($F5)&gt;=Params!$C$4,OR(N($I5)&lt;=Params!$F$3,N($E5)&gt;=Params!$B$4)),"Bloqué",IF(AND(OR(N($G5)&gt;=Params!$D$4,N($H5)&gt;=Params!$E$4),N($I5)&lt;=Params!$F$3),"Persévérant",IF(AND(N($J5)&gt;=Params!$G$4,OR(N($G5)&lt;=Params!$D$3,N($H5)&lt;=Params!$E$3)),"Sporadique","Intermédiaire"))))))</f>
        <v>Intermédiaire</v>
      </c>
      <c r="E5" s="6">
        <f t="array" ref="E5">XLOOKUP(A5, EQ!A:A, EQ!B:B, "")</f>
        <v>0.6666666667</v>
      </c>
      <c r="F5" s="6">
        <f t="array" ref="F5">XLOOKUP(A5, RED!A:A, RED!B:B, "")</f>
        <v>0.5037037</v>
      </c>
      <c r="G5" s="3">
        <f t="shared" si="2"/>
        <v>10</v>
      </c>
      <c r="H5" s="3">
        <f t="shared" ref="H5:O5" si="5">XLOOKUP($A5, INDIRECT("'"&amp;H$1&amp;"'!A:A"), INDIRECT("'"&amp;H$1&amp;"'!B:B"), "")</f>
        <v>1</v>
      </c>
      <c r="I5" s="3">
        <f t="shared" si="5"/>
        <v>0.2</v>
      </c>
      <c r="J5" s="3">
        <f t="shared" si="5"/>
        <v>0</v>
      </c>
      <c r="K5" s="3">
        <f t="shared" si="5"/>
        <v>0.1714286</v>
      </c>
      <c r="L5" s="3">
        <f t="shared" si="5"/>
        <v>1.2</v>
      </c>
      <c r="M5" s="3">
        <f t="shared" si="5"/>
        <v>12.65</v>
      </c>
      <c r="N5" s="3">
        <f t="shared" si="5"/>
        <v>44.71666667</v>
      </c>
      <c r="O5" s="3">
        <f t="shared" si="5"/>
        <v>12.65</v>
      </c>
    </row>
    <row r="6" ht="112.5" customHeight="1">
      <c r="A6" s="3" t="str">
        <f>EQ!A6</f>
        <v>098d08de95d38eeec0842ad11e1e98d03c5afff456588f8ec0e9b2842aae39a3</v>
      </c>
      <c r="B6" s="3">
        <f t="array" ref="B6">XLOOKUP(A6, Notes!A:A, Notes!B:B, "")</f>
        <v>86.16</v>
      </c>
      <c r="C6" s="3" t="str">
        <f>IFERROR(IMAGE(VLOOKUP(A6,DriveImages!A:C,3,FALSE),4,240,520),"")</f>
        <v/>
      </c>
      <c r="D6" s="3" t="str">
        <f>IF($A6="","",IF(AND(N($G6)&lt;=Params!$D$2,N($H6)&lt;=Params!$E$2),"Peu actif",IF(AND(N($I6)&gt;=Params!$F$4,N($E6)&lt;=Params!$B$2,N($F6)&lt;=Params!$C$2),"Efficace",IF(AND(N($F6)&gt;=Params!$C$4,OR(N($I6)&lt;=Params!$F$3,N($E6)&gt;=Params!$B$4)),"Bloqué",IF(AND(OR(N($G6)&gt;=Params!$D$4,N($H6)&gt;=Params!$E$4),N($I6)&lt;=Params!$F$3),"Persévérant",IF(AND(N($J6)&gt;=Params!$G$4,OR(N($G6)&lt;=Params!$D$3,N($H6)&lt;=Params!$E$3)),"Sporadique","Intermédiaire"))))))</f>
        <v>Efficace</v>
      </c>
      <c r="E6" s="6">
        <f t="array" ref="E6">XLOOKUP(A6, EQ!A:A, EQ!B:B, "")</f>
        <v>0</v>
      </c>
      <c r="F6" s="6">
        <f t="array" ref="F6">XLOOKUP(A6, RED!A:A, RED!B:B, "")</f>
        <v>0</v>
      </c>
      <c r="G6" s="3">
        <f t="shared" si="2"/>
        <v>4</v>
      </c>
      <c r="H6" s="3">
        <f t="shared" ref="H6:O6" si="6">XLOOKUP($A6, INDIRECT("'"&amp;H$1&amp;"'!A:A"), INDIRECT("'"&amp;H$1&amp;"'!B:B"), "")</f>
        <v>2</v>
      </c>
      <c r="I6" s="3">
        <f t="shared" si="6"/>
        <v>0.75</v>
      </c>
      <c r="J6" s="3">
        <f t="shared" si="6"/>
        <v>0.3333333333</v>
      </c>
      <c r="K6" s="3">
        <f t="shared" si="6"/>
        <v>0.43</v>
      </c>
      <c r="L6" s="3">
        <f t="shared" si="6"/>
        <v>1.4</v>
      </c>
      <c r="M6" s="3">
        <f t="shared" si="6"/>
        <v>13.63333333</v>
      </c>
      <c r="N6" s="3">
        <f t="shared" si="6"/>
        <v>43.53333333</v>
      </c>
      <c r="O6" s="3">
        <f t="shared" si="6"/>
        <v>0</v>
      </c>
    </row>
    <row r="7" ht="112.5" customHeight="1">
      <c r="A7" s="3" t="str">
        <f>EQ!A76</f>
        <v>b2c90b16a2864cf16993f00192cdb13ee656ac6cd53f745acd473a25224cd05d</v>
      </c>
      <c r="B7" s="3">
        <f t="array" ref="B7">XLOOKUP(A7, Notes!A:A, Notes!B:B, "")</f>
        <v>58.25</v>
      </c>
      <c r="C7" s="3" t="str">
        <f>IFERROR(IMAGE(VLOOKUP(A7,DriveImages!A:C,3,FALSE),4,240,520),"")</f>
        <v/>
      </c>
      <c r="D7" s="3" t="str">
        <f>IF($A7="","",IF(AND(N($G7)&lt;=Params!$D$2,N($H7)&lt;=Params!$E$2),"Peu actif",IF(AND(N($I7)&gt;=Params!$F$4,N($E7)&lt;=Params!$B$2,N($F7)&lt;=Params!$C$2),"Efficace",IF(AND(N($F7)&gt;=Params!$C$4,OR(N($I7)&lt;=Params!$F$3,N($E7)&gt;=Params!$B$4)),"Bloqué",IF(AND(OR(N($G7)&gt;=Params!$D$4,N($H7)&gt;=Params!$E$4),N($I7)&lt;=Params!$F$3),"Persévérant",IF(AND(N($J7)&gt;=Params!$G$4,OR(N($G7)&lt;=Params!$D$3,N($H7)&lt;=Params!$E$3)),"Sporadique","Intermédiaire"))))))</f>
        <v>Efficace</v>
      </c>
      <c r="E7" s="6">
        <f t="array" ref="E7">XLOOKUP(A7, EQ!A:A, EQ!B:B, "")</f>
        <v>0.07692307692</v>
      </c>
      <c r="F7" s="6">
        <f t="array" ref="F7">XLOOKUP(A7, RED!A:A, RED!B:B, "")</f>
        <v>0.03846154</v>
      </c>
      <c r="G7" s="3">
        <f t="shared" si="2"/>
        <v>21</v>
      </c>
      <c r="H7" s="3">
        <f t="shared" ref="H7:O7" si="7">XLOOKUP($A7, INDIRECT("'"&amp;H$1&amp;"'!A:A"), INDIRECT("'"&amp;H$1&amp;"'!B:B"), "")</f>
        <v>6</v>
      </c>
      <c r="I7" s="3">
        <f t="shared" si="7"/>
        <v>0.7619047619</v>
      </c>
      <c r="J7" s="3">
        <f t="shared" si="7"/>
        <v>0.25</v>
      </c>
      <c r="K7" s="3">
        <f t="shared" si="7"/>
        <v>0.64557824</v>
      </c>
      <c r="L7" s="3">
        <f t="shared" si="7"/>
        <v>2.05</v>
      </c>
      <c r="M7" s="3">
        <f t="shared" si="7"/>
        <v>56.28333333</v>
      </c>
      <c r="N7" s="3">
        <f t="shared" si="7"/>
        <v>0.2333333333</v>
      </c>
      <c r="O7" s="3">
        <f t="shared" si="7"/>
        <v>0</v>
      </c>
    </row>
    <row r="8" ht="112.5" customHeight="1">
      <c r="A8" s="3" t="str">
        <f>EQ!A41</f>
        <v>6a91389bf293538f8bfd1747ffc38730176f9e72e8ed7004fabc8cd25e69df6b</v>
      </c>
      <c r="B8" s="3">
        <f t="array" ref="B8">XLOOKUP(A8, Notes!A:A, Notes!B:B, "")</f>
        <v>42.53</v>
      </c>
      <c r="C8" s="3" t="str">
        <f>IFERROR(IMAGE(VLOOKUP(A8,DriveImages!A:C,3,FALSE),4,240,520),"")</f>
        <v/>
      </c>
      <c r="D8" s="3" t="str">
        <f>IF($A8="","",IF(AND(N($G8)&lt;=Params!$D$2,N($H8)&lt;=Params!$E$2),"Peu actif",IF(AND(N($I8)&gt;=Params!$F$4,N($E8)&lt;=Params!$B$2,N($F8)&lt;=Params!$C$2),"Efficace",IF(AND(N($F8)&gt;=Params!$C$4,OR(N($I8)&lt;=Params!$F$3,N($E8)&gt;=Params!$B$4)),"Bloqué",IF(AND(OR(N($G8)&gt;=Params!$D$4,N($H8)&gt;=Params!$E$4),N($I8)&lt;=Params!$F$3),"Persévérant",IF(AND(N($J8)&gt;=Params!$G$4,OR(N($G8)&lt;=Params!$D$3,N($H8)&lt;=Params!$E$3)),"Sporadique","Intermédiaire"))))))</f>
        <v>Efficace</v>
      </c>
      <c r="E8" s="6">
        <f t="array" ref="E8">XLOOKUP(A8, EQ!A:A, EQ!B:B, "")</f>
        <v>0</v>
      </c>
      <c r="F8" s="6">
        <f t="array" ref="F8">XLOOKUP(A8, RED!A:A, RED!B:B, "")</f>
        <v>0</v>
      </c>
      <c r="G8" s="3">
        <f t="shared" si="2"/>
        <v>12</v>
      </c>
      <c r="H8" s="3">
        <f t="shared" ref="H8:O8" si="8">XLOOKUP($A8, INDIRECT("'"&amp;H$1&amp;"'!A:A"), INDIRECT("'"&amp;H$1&amp;"'!B:B"), "")</f>
        <v>2</v>
      </c>
      <c r="I8" s="3">
        <f t="shared" si="8"/>
        <v>1</v>
      </c>
      <c r="J8" s="3">
        <f t="shared" si="8"/>
        <v>0.09090909091</v>
      </c>
      <c r="K8" s="3">
        <f t="shared" si="8"/>
        <v>0.5345455</v>
      </c>
      <c r="L8" s="3">
        <f t="shared" si="8"/>
        <v>2.116666667</v>
      </c>
      <c r="M8" s="3">
        <f t="shared" si="8"/>
        <v>30.88333333</v>
      </c>
      <c r="N8" s="3">
        <f t="shared" si="8"/>
        <v>25.56666667</v>
      </c>
      <c r="O8" s="3">
        <f t="shared" si="8"/>
        <v>1.483333333</v>
      </c>
    </row>
    <row r="9" ht="112.5" customHeight="1">
      <c r="A9" s="3" t="str">
        <f>EQ!A63</f>
        <v>93a7aef5296e288f3a39f8c1c0dcb8935c9657f5c87378408e5d1910444e7c70</v>
      </c>
      <c r="B9" s="3">
        <f t="array" ref="B9">XLOOKUP(A9, Notes!A:A, Notes!B:B, "")</f>
        <v>61.57</v>
      </c>
      <c r="C9" s="3" t="str">
        <f>IFERROR(IMAGE(VLOOKUP(A9,DriveImages!A:C,3,FALSE),4,240,520),"")</f>
        <v/>
      </c>
      <c r="D9" s="3" t="str">
        <f>IF($A9="","",IF(AND(N($G9)&lt;=Params!$D$2,N($H9)&lt;=Params!$E$2),"Peu actif",IF(AND(N($I9)&gt;=Params!$F$4,N($E9)&lt;=Params!$B$2,N($F9)&lt;=Params!$C$2),"Efficace",IF(AND(N($F9)&gt;=Params!$C$4,OR(N($I9)&lt;=Params!$F$3,N($E9)&gt;=Params!$B$4)),"Bloqué",IF(AND(OR(N($G9)&gt;=Params!$D$4,N($H9)&gt;=Params!$E$4),N($I9)&lt;=Params!$F$3),"Persévérant",IF(AND(N($J9)&gt;=Params!$G$4,OR(N($G9)&lt;=Params!$D$3,N($H9)&lt;=Params!$E$3)),"Sporadique","Intermédiaire"))))))</f>
        <v>Intermédiaire</v>
      </c>
      <c r="E9" s="6">
        <f t="array" ref="E9">XLOOKUP(A9, EQ!A:A, EQ!B:B, "")</f>
        <v>0.5833333333</v>
      </c>
      <c r="F9" s="6">
        <f t="array" ref="F9">XLOOKUP(A9, RED!A:A, RED!B:B, "")</f>
        <v>0.51041667</v>
      </c>
      <c r="G9" s="3">
        <f t="shared" si="2"/>
        <v>20</v>
      </c>
      <c r="H9" s="3">
        <f t="shared" ref="H9:O9" si="9">XLOOKUP($A9, INDIRECT("'"&amp;H$1&amp;"'!A:A"), INDIRECT("'"&amp;H$1&amp;"'!B:B"), "")</f>
        <v>4</v>
      </c>
      <c r="I9" s="3">
        <f t="shared" si="9"/>
        <v>0.55</v>
      </c>
      <c r="J9" s="3">
        <f t="shared" si="9"/>
        <v>0.1578947368</v>
      </c>
      <c r="K9" s="3">
        <f t="shared" si="9"/>
        <v>0.53333335</v>
      </c>
      <c r="L9" s="3">
        <f t="shared" si="9"/>
        <v>2.35</v>
      </c>
      <c r="M9" s="3">
        <f t="shared" si="9"/>
        <v>48.26666667</v>
      </c>
      <c r="N9" s="3">
        <f t="shared" si="9"/>
        <v>7.95</v>
      </c>
      <c r="O9" s="3">
        <f t="shared" si="9"/>
        <v>23.63333333</v>
      </c>
    </row>
    <row r="10" ht="112.5" customHeight="1">
      <c r="A10" s="3" t="str">
        <f>EQ!A50</f>
        <v>76b0bf253c0d17b6f275cc641729eda42ebed851893da32c132515023ab1e4e1</v>
      </c>
      <c r="B10" s="3">
        <f t="array" ref="B10">XLOOKUP(A10, Notes!A:A, Notes!B:B, "")</f>
        <v>62.06</v>
      </c>
      <c r="C10" s="3" t="str">
        <f>IFERROR(IMAGE(VLOOKUP(A10,DriveImages!A:C,3,FALSE),4,240,520),"")</f>
        <v/>
      </c>
      <c r="D10" s="3" t="str">
        <f>IF($A10="","",IF(AND(N($G10)&lt;=Params!$D$2,N($H10)&lt;=Params!$E$2),"Peu actif",IF(AND(N($I10)&gt;=Params!$F$4,N($E10)&lt;=Params!$B$2,N($F10)&lt;=Params!$C$2),"Efficace",IF(AND(N($F10)&gt;=Params!$C$4,OR(N($I10)&lt;=Params!$F$3,N($E10)&gt;=Params!$B$4)),"Bloqué",IF(AND(OR(N($G10)&gt;=Params!$D$4,N($H10)&gt;=Params!$E$4),N($I10)&lt;=Params!$F$3),"Persévérant",IF(AND(N($J10)&gt;=Params!$G$4,OR(N($G10)&lt;=Params!$D$3,N($H10)&lt;=Params!$E$3)),"Sporadique","Intermédiaire"))))))</f>
        <v>Intermédiaire</v>
      </c>
      <c r="E10" s="6">
        <f t="array" ref="E10">XLOOKUP(A10, EQ!A:A, EQ!B:B, "")</f>
        <v>0.3333333333</v>
      </c>
      <c r="F10" s="6">
        <f t="array" ref="F10">XLOOKUP(A10, RED!A:A, RED!B:B, "")</f>
        <v>0.22222222</v>
      </c>
      <c r="G10" s="3">
        <f t="shared" si="2"/>
        <v>11</v>
      </c>
      <c r="H10" s="3">
        <f t="shared" ref="H10:O10" si="10">XLOOKUP($A10, INDIRECT("'"&amp;H$1&amp;"'!A:A"), INDIRECT("'"&amp;H$1&amp;"'!B:B"), "")</f>
        <v>2</v>
      </c>
      <c r="I10" s="3">
        <f t="shared" si="10"/>
        <v>0.5454545455</v>
      </c>
      <c r="J10" s="3">
        <f t="shared" si="10"/>
        <v>0.1</v>
      </c>
      <c r="K10" s="3">
        <f t="shared" si="10"/>
        <v>0.53409091</v>
      </c>
      <c r="L10" s="3">
        <f t="shared" si="10"/>
        <v>2.433333333</v>
      </c>
      <c r="M10" s="3">
        <f t="shared" si="10"/>
        <v>20.86666667</v>
      </c>
      <c r="N10" s="3">
        <f t="shared" si="10"/>
        <v>35.26666667</v>
      </c>
      <c r="O10" s="3">
        <f t="shared" si="10"/>
        <v>2.133333333</v>
      </c>
    </row>
    <row r="11" ht="112.5" customHeight="1">
      <c r="A11" s="3" t="str">
        <f>EQ!A62</f>
        <v>9323ada035535298a0de65f40698a45122446c861947978f1be17123ecf09a53</v>
      </c>
      <c r="B11" s="3">
        <f t="array" ref="B11">XLOOKUP(A11, Notes!A:A, Notes!B:B, "")</f>
        <v>61.57</v>
      </c>
      <c r="C11" s="3" t="str">
        <f>IFERROR(IMAGE(VLOOKUP(A11,DriveImages!A:C,3,FALSE),4,240,520),"")</f>
        <v/>
      </c>
      <c r="D11" s="3" t="str">
        <f>IF($A11="","",IF(AND(N($G11)&lt;=Params!$D$2,N($H11)&lt;=Params!$E$2),"Peu actif",IF(AND(N($I11)&gt;=Params!$F$4,N($E11)&lt;=Params!$B$2,N($F11)&lt;=Params!$C$2),"Efficace",IF(AND(N($F11)&gt;=Params!$C$4,OR(N($I11)&lt;=Params!$F$3,N($E11)&gt;=Params!$B$4)),"Bloqué",IF(AND(OR(N($G11)&gt;=Params!$D$4,N($H11)&gt;=Params!$E$4),N($I11)&lt;=Params!$F$3),"Persévérant",IF(AND(N($J11)&gt;=Params!$G$4,OR(N($G11)&lt;=Params!$D$3,N($H11)&lt;=Params!$E$3)),"Sporadique","Intermédiaire"))))))</f>
        <v>Bloqué</v>
      </c>
      <c r="E11" s="6">
        <f t="array" ref="E11">XLOOKUP(A11, EQ!A:A, EQ!B:B, "")</f>
        <v>1</v>
      </c>
      <c r="F11" s="6">
        <f t="array" ref="F11">XLOOKUP(A11, RED!A:A, RED!B:B, "")</f>
        <v>0.83333333</v>
      </c>
      <c r="G11" s="3">
        <f t="shared" si="2"/>
        <v>6</v>
      </c>
      <c r="H11" s="3">
        <f t="shared" ref="H11:O11" si="11">XLOOKUP($A11, INDIRECT("'"&amp;H$1&amp;"'!A:A"), INDIRECT("'"&amp;H$1&amp;"'!B:B"), "")</f>
        <v>2</v>
      </c>
      <c r="I11" s="3">
        <f t="shared" si="11"/>
        <v>0</v>
      </c>
      <c r="J11" s="3">
        <f t="shared" si="11"/>
        <v>0.2</v>
      </c>
      <c r="K11" s="3">
        <f t="shared" si="11"/>
        <v>0</v>
      </c>
      <c r="L11" s="3">
        <f t="shared" si="11"/>
        <v>2.716666667</v>
      </c>
      <c r="M11" s="3">
        <f t="shared" si="11"/>
        <v>17.4</v>
      </c>
      <c r="N11" s="3">
        <f t="shared" si="11"/>
        <v>38.45</v>
      </c>
      <c r="O11" s="3">
        <f t="shared" si="11"/>
        <v>60</v>
      </c>
    </row>
    <row r="12" ht="112.5" customHeight="1">
      <c r="A12" s="3" t="str">
        <f>EQ!A78</f>
        <v>bd41cbdc04707f80b319802470a1871b99d36766f9d020cc0f9a569a4d1bb54b</v>
      </c>
      <c r="B12" s="3">
        <f t="array" ref="B12">XLOOKUP(A12, Notes!A:A, Notes!B:B, "")</f>
        <v>68.44</v>
      </c>
      <c r="C12" s="3" t="str">
        <f>IFERROR(IMAGE(VLOOKUP(A12,DriveImages!A:C,3,FALSE),4,240,520),"")</f>
        <v/>
      </c>
      <c r="D12" s="3" t="str">
        <f>IF($A12="","",IF(AND(N($G12)&lt;=Params!$D$2,N($H12)&lt;=Params!$E$2),"Peu actif",IF(AND(N($I12)&gt;=Params!$F$4,N($E12)&lt;=Params!$B$2,N($F12)&lt;=Params!$C$2),"Efficace",IF(AND(N($F12)&gt;=Params!$C$4,OR(N($I12)&lt;=Params!$F$3,N($E12)&gt;=Params!$B$4)),"Bloqué",IF(AND(OR(N($G12)&gt;=Params!$D$4,N($H12)&gt;=Params!$E$4),N($I12)&lt;=Params!$F$3),"Persévérant",IF(AND(N($J12)&gt;=Params!$G$4,OR(N($G12)&lt;=Params!$D$3,N($H12)&lt;=Params!$E$3)),"Sporadique","Intermédiaire"))))))</f>
        <v>Peu actif</v>
      </c>
      <c r="E12" s="6">
        <f t="array" ref="E12">XLOOKUP(A12, EQ!A:A, EQ!B:B, "")</f>
        <v>0.3333333333</v>
      </c>
      <c r="F12" s="6">
        <f t="array" ref="F12">XLOOKUP(A12, RED!A:A, RED!B:B, "")</f>
        <v>0.16666667</v>
      </c>
      <c r="G12" s="3">
        <f t="shared" si="2"/>
        <v>4</v>
      </c>
      <c r="H12" s="3">
        <f t="shared" ref="H12:O12" si="12">XLOOKUP($A12, INDIRECT("'"&amp;H$1&amp;"'!A:A"), INDIRECT("'"&amp;H$1&amp;"'!B:B"), "")</f>
        <v>1</v>
      </c>
      <c r="I12" s="3">
        <f t="shared" si="12"/>
        <v>0.5</v>
      </c>
      <c r="J12" s="3">
        <f t="shared" si="12"/>
        <v>0</v>
      </c>
      <c r="K12" s="3">
        <f t="shared" si="12"/>
        <v>0.44230775</v>
      </c>
      <c r="L12" s="3">
        <f t="shared" si="12"/>
        <v>2.966666667</v>
      </c>
      <c r="M12" s="3">
        <f t="shared" si="12"/>
        <v>1.233333333</v>
      </c>
      <c r="N12" s="3">
        <f t="shared" si="12"/>
        <v>54.36666667</v>
      </c>
      <c r="O12" s="3">
        <f t="shared" si="12"/>
        <v>1.233333333</v>
      </c>
    </row>
    <row r="13" ht="112.5" customHeight="1">
      <c r="A13" s="3" t="str">
        <f>EQ!A36</f>
        <v>5c075290e921279538ad0cbf9786e8855bd2c7f97a066c94d059d313cb34273b</v>
      </c>
      <c r="B13" s="3">
        <f t="array" ref="B13">XLOOKUP(A13, Notes!A:A, Notes!B:B, "")</f>
        <v>61.23</v>
      </c>
      <c r="C13" s="3" t="str">
        <f>IFERROR(IMAGE(VLOOKUP(A13,DriveImages!A:C,3,FALSE),4,240,520),"")</f>
        <v/>
      </c>
      <c r="D13" s="3" t="str">
        <f>IF($A13="","",IF(AND(N($G13)&lt;=Params!$D$2,N($H13)&lt;=Params!$E$2),"Peu actif",IF(AND(N($I13)&gt;=Params!$F$4,N($E13)&lt;=Params!$B$2,N($F13)&lt;=Params!$C$2),"Efficace",IF(AND(N($F13)&gt;=Params!$C$4,OR(N($I13)&lt;=Params!$F$3,N($E13)&gt;=Params!$B$4)),"Bloqué",IF(AND(OR(N($G13)&gt;=Params!$D$4,N($H13)&gt;=Params!$E$4),N($I13)&lt;=Params!$F$3),"Persévérant",IF(AND(N($J13)&gt;=Params!$G$4,OR(N($G13)&lt;=Params!$D$3,N($H13)&lt;=Params!$E$3)),"Sporadique","Intermédiaire"))))))</f>
        <v>Intermédiaire</v>
      </c>
      <c r="E13" s="6">
        <f t="array" ref="E13">XLOOKUP(A13, EQ!A:A, EQ!B:B, "")</f>
        <v>0.1875</v>
      </c>
      <c r="F13" s="6">
        <f t="array" ref="F13">XLOOKUP(A13, RED!A:A, RED!B:B, "")</f>
        <v>0.140625</v>
      </c>
      <c r="G13" s="3">
        <f t="shared" si="2"/>
        <v>23</v>
      </c>
      <c r="H13" s="3">
        <f t="shared" ref="H13:O13" si="13">XLOOKUP($A13, INDIRECT("'"&amp;H$1&amp;"'!A:A"), INDIRECT("'"&amp;H$1&amp;"'!B:B"), "")</f>
        <v>4</v>
      </c>
      <c r="I13" s="3">
        <f t="shared" si="13"/>
        <v>0.5652173913</v>
      </c>
      <c r="J13" s="3">
        <f t="shared" si="13"/>
        <v>0.1363636364</v>
      </c>
      <c r="K13" s="3">
        <f t="shared" si="13"/>
        <v>0.40518396</v>
      </c>
      <c r="L13" s="3">
        <f t="shared" si="13"/>
        <v>3.366666667</v>
      </c>
      <c r="M13" s="3">
        <f t="shared" si="13"/>
        <v>47.46666667</v>
      </c>
      <c r="N13" s="3">
        <f t="shared" si="13"/>
        <v>7.733333333</v>
      </c>
      <c r="O13" s="3">
        <f t="shared" si="13"/>
        <v>6.033333333</v>
      </c>
    </row>
    <row r="14" ht="112.5" customHeight="1">
      <c r="A14" s="3" t="str">
        <f>EQ!A94</f>
        <v>d9381190f981d16a88149206249465bb181ce58d6359562dea944f4d477363e3</v>
      </c>
      <c r="B14" s="3">
        <f t="array" ref="B14">XLOOKUP(A14, Notes!A:A, Notes!B:B, "")</f>
        <v>52.9</v>
      </c>
      <c r="C14" s="3" t="str">
        <f>IFERROR(IMAGE(VLOOKUP(A14,DriveImages!A:C,3,FALSE),4,240,520),"")</f>
        <v/>
      </c>
      <c r="D14" s="3" t="str">
        <f>IF($A14="","",IF(AND(N($G14)&lt;=Params!$D$2,N($H14)&lt;=Params!$E$2),"Peu actif",IF(AND(N($I14)&gt;=Params!$F$4,N($E14)&lt;=Params!$B$2,N($F14)&lt;=Params!$C$2),"Efficace",IF(AND(N($F14)&gt;=Params!$C$4,OR(N($I14)&lt;=Params!$F$3,N($E14)&gt;=Params!$B$4)),"Bloqué",IF(AND(OR(N($G14)&gt;=Params!$D$4,N($H14)&gt;=Params!$E$4),N($I14)&lt;=Params!$F$3),"Persévérant",IF(AND(N($J14)&gt;=Params!$G$4,OR(N($G14)&lt;=Params!$D$3,N($H14)&lt;=Params!$E$3)),"Sporadique","Intermédiaire"))))))</f>
        <v>Intermédiaire</v>
      </c>
      <c r="E14" s="6">
        <f t="array" ref="E14">XLOOKUP(A14, EQ!A:A, EQ!B:B, "")</f>
        <v>0.25</v>
      </c>
      <c r="F14" s="6">
        <f t="array" ref="F14">XLOOKUP(A14, RED!A:A, RED!B:B, "")</f>
        <v>0.125</v>
      </c>
      <c r="G14" s="3">
        <f t="shared" si="2"/>
        <v>12</v>
      </c>
      <c r="H14" s="3">
        <f t="shared" ref="H14:O14" si="14">XLOOKUP($A14, INDIRECT("'"&amp;H$1&amp;"'!A:A"), INDIRECT("'"&amp;H$1&amp;"'!B:B"), "")</f>
        <v>1</v>
      </c>
      <c r="I14" s="3">
        <f t="shared" si="14"/>
        <v>0.4166666667</v>
      </c>
      <c r="J14" s="3">
        <f t="shared" si="14"/>
        <v>0</v>
      </c>
      <c r="K14" s="3">
        <f t="shared" si="14"/>
        <v>0.40333333</v>
      </c>
      <c r="L14" s="3">
        <f t="shared" si="14"/>
        <v>3.55</v>
      </c>
      <c r="M14" s="3">
        <f t="shared" si="14"/>
        <v>11.51666667</v>
      </c>
      <c r="N14" s="3">
        <f t="shared" si="14"/>
        <v>43.5</v>
      </c>
      <c r="O14" s="3">
        <f t="shared" si="14"/>
        <v>0.8666666667</v>
      </c>
    </row>
    <row r="15" ht="112.5" customHeight="1">
      <c r="A15" s="3" t="str">
        <f>EQ!A31</f>
        <v>48f565383f47c6752893810686bd0c5f07fef08e34bc22a3f398d3b8c8db7c43</v>
      </c>
      <c r="B15" s="3">
        <f t="array" ref="B15">XLOOKUP(A15, Notes!A:A, Notes!B:B, "")</f>
        <v>56.91</v>
      </c>
      <c r="C15" s="3" t="str">
        <f>IFERROR(IMAGE(VLOOKUP(A15,DriveImages!A:C,3,FALSE),4,240,520),"")</f>
        <v/>
      </c>
      <c r="D15" s="3" t="str">
        <f>IF($A15="","",IF(AND(N($G15)&lt;=Params!$D$2,N($H15)&lt;=Params!$E$2),"Peu actif",IF(AND(N($I15)&gt;=Params!$F$4,N($E15)&lt;=Params!$B$2,N($F15)&lt;=Params!$C$2),"Efficace",IF(AND(N($F15)&gt;=Params!$C$4,OR(N($I15)&lt;=Params!$F$3,N($E15)&gt;=Params!$B$4)),"Bloqué",IF(AND(OR(N($G15)&gt;=Params!$D$4,N($H15)&gt;=Params!$E$4),N($I15)&lt;=Params!$F$3),"Persévérant",IF(AND(N($J15)&gt;=Params!$G$4,OR(N($G15)&lt;=Params!$D$3,N($H15)&lt;=Params!$E$3)),"Sporadique","Intermédiaire"))))))</f>
        <v>Bloqué</v>
      </c>
      <c r="E15" s="6">
        <f t="array" ref="E15">XLOOKUP(A15, EQ!A:A, EQ!B:B, "")</f>
        <v>0.6956521739</v>
      </c>
      <c r="F15" s="6">
        <f t="array" ref="F15">XLOOKUP(A15, RED!A:A, RED!B:B, "")</f>
        <v>0.59075224</v>
      </c>
      <c r="G15" s="3">
        <f t="shared" si="2"/>
        <v>29</v>
      </c>
      <c r="H15" s="3">
        <f t="shared" ref="H15:O15" si="15">XLOOKUP($A15, INDIRECT("'"&amp;H$1&amp;"'!A:A"), INDIRECT("'"&amp;H$1&amp;"'!B:B"), "")</f>
        <v>2</v>
      </c>
      <c r="I15" s="3">
        <f t="shared" si="15"/>
        <v>0.3103448276</v>
      </c>
      <c r="J15" s="3">
        <f t="shared" si="15"/>
        <v>0.03571428571</v>
      </c>
      <c r="K15" s="3">
        <f t="shared" si="15"/>
        <v>0.27032021</v>
      </c>
      <c r="L15" s="3">
        <f t="shared" si="15"/>
        <v>4.35</v>
      </c>
      <c r="M15" s="3">
        <f t="shared" si="15"/>
        <v>47.48333333</v>
      </c>
      <c r="N15" s="3">
        <f t="shared" si="15"/>
        <v>6.733333333</v>
      </c>
      <c r="O15" s="3">
        <f t="shared" si="15"/>
        <v>10.28333333</v>
      </c>
    </row>
    <row r="16" ht="112.5" customHeight="1">
      <c r="A16" s="3" t="str">
        <f>EQ!A85</f>
        <v>ca1b7797566e850c3e583a2fbda610a51d5504ca9b0d611a0a3e2770c912d52d</v>
      </c>
      <c r="B16" s="3">
        <f t="array" ref="B16">XLOOKUP(A16, Notes!A:A, Notes!B:B, "")</f>
        <v>48</v>
      </c>
      <c r="C16" s="3" t="str">
        <f>IFERROR(IMAGE(VLOOKUP(A16,DriveImages!A:C,3,FALSE),4,240,520),"")</f>
        <v/>
      </c>
      <c r="D16" s="3" t="str">
        <f>IF($A16="","",IF(AND(N($G16)&lt;=Params!$D$2,N($H16)&lt;=Params!$E$2),"Peu actif",IF(AND(N($I16)&gt;=Params!$F$4,N($E16)&lt;=Params!$B$2,N($F16)&lt;=Params!$C$2),"Efficace",IF(AND(N($F16)&gt;=Params!$C$4,OR(N($I16)&lt;=Params!$F$3,N($E16)&gt;=Params!$B$4)),"Bloqué",IF(AND(OR(N($G16)&gt;=Params!$D$4,N($H16)&gt;=Params!$E$4),N($I16)&lt;=Params!$F$3),"Persévérant",IF(AND(N($J16)&gt;=Params!$G$4,OR(N($G16)&lt;=Params!$D$3,N($H16)&lt;=Params!$E$3)),"Sporadique","Intermédiaire"))))))</f>
        <v>Intermédiaire</v>
      </c>
      <c r="E16" s="6">
        <f t="array" ref="E16">XLOOKUP(A16, EQ!A:A, EQ!B:B, "")</f>
        <v>0.4166666667</v>
      </c>
      <c r="F16" s="6">
        <f t="array" ref="F16">XLOOKUP(A16, RED!A:A, RED!B:B, "")</f>
        <v>0.29861111</v>
      </c>
      <c r="G16" s="3">
        <f t="shared" si="2"/>
        <v>18</v>
      </c>
      <c r="H16" s="3">
        <f t="shared" ref="H16:O16" si="16">XLOOKUP($A16, INDIRECT("'"&amp;H$1&amp;"'!A:A"), INDIRECT("'"&amp;H$1&amp;"'!B:B"), "")</f>
        <v>2</v>
      </c>
      <c r="I16" s="3">
        <f t="shared" si="16"/>
        <v>0.5555555556</v>
      </c>
      <c r="J16" s="3">
        <f t="shared" si="16"/>
        <v>0.05882352941</v>
      </c>
      <c r="K16" s="3">
        <f t="shared" si="16"/>
        <v>0.45405983</v>
      </c>
      <c r="L16" s="3">
        <f t="shared" si="16"/>
        <v>4.533333333</v>
      </c>
      <c r="M16" s="3">
        <f t="shared" si="16"/>
        <v>16.31666667</v>
      </c>
      <c r="N16" s="3">
        <f t="shared" si="16"/>
        <v>37.71666667</v>
      </c>
      <c r="O16" s="3">
        <f t="shared" si="16"/>
        <v>10.93333333</v>
      </c>
    </row>
    <row r="17" ht="112.5" customHeight="1">
      <c r="A17" s="3" t="str">
        <f>EQ!A80</f>
        <v>bee686e3fcc9f3886386d09a5bbd6f4779d852c8bb282b0b6185be70704d9207</v>
      </c>
      <c r="B17" s="3">
        <f t="array" ref="B17">XLOOKUP(A17, Notes!A:A, Notes!B:B, "")</f>
        <v>85.8</v>
      </c>
      <c r="C17" s="3" t="str">
        <f>IFERROR(IMAGE(VLOOKUP(A17,DriveImages!A:C,3,FALSE),4,240,520),"")</f>
        <v/>
      </c>
      <c r="D17" s="3" t="str">
        <f>IF($A17="","",IF(AND(N($G17)&lt;=Params!$D$2,N($H17)&lt;=Params!$E$2),"Peu actif",IF(AND(N($I17)&gt;=Params!$F$4,N($E17)&lt;=Params!$B$2,N($F17)&lt;=Params!$C$2),"Efficace",IF(AND(N($F17)&gt;=Params!$C$4,OR(N($I17)&lt;=Params!$F$3,N($E17)&gt;=Params!$B$4)),"Bloqué",IF(AND(OR(N($G17)&gt;=Params!$D$4,N($H17)&gt;=Params!$E$4),N($I17)&lt;=Params!$F$3),"Persévérant",IF(AND(N($J17)&gt;=Params!$G$4,OR(N($G17)&lt;=Params!$D$3,N($H17)&lt;=Params!$E$3)),"Sporadique","Intermédiaire"))))))</f>
        <v>Efficace</v>
      </c>
      <c r="E17" s="6">
        <f t="array" ref="E17">XLOOKUP(A17, EQ!A:A, EQ!B:B, "")</f>
        <v>0</v>
      </c>
      <c r="F17" s="6">
        <f t="array" ref="F17">XLOOKUP(A17, RED!A:A, RED!B:B, "")</f>
        <v>0</v>
      </c>
      <c r="G17" s="3">
        <f t="shared" si="2"/>
        <v>9</v>
      </c>
      <c r="H17" s="3">
        <f t="shared" ref="H17:O17" si="17">XLOOKUP($A17, INDIRECT("'"&amp;H$1&amp;"'!A:A"), INDIRECT("'"&amp;H$1&amp;"'!B:B"), "")</f>
        <v>1</v>
      </c>
      <c r="I17" s="3">
        <f t="shared" si="17"/>
        <v>0.8888888889</v>
      </c>
      <c r="J17" s="3">
        <f t="shared" si="17"/>
        <v>0</v>
      </c>
      <c r="K17" s="3">
        <f t="shared" si="17"/>
        <v>0.80886244</v>
      </c>
      <c r="L17" s="3">
        <f t="shared" si="17"/>
        <v>5.05</v>
      </c>
      <c r="M17" s="3">
        <f t="shared" si="17"/>
        <v>21.41666667</v>
      </c>
      <c r="N17" s="3">
        <f t="shared" si="17"/>
        <v>32.1</v>
      </c>
      <c r="O17" s="3">
        <f t="shared" si="17"/>
        <v>3.033333333</v>
      </c>
    </row>
    <row r="18" ht="112.5" customHeight="1">
      <c r="A18" s="3" t="str">
        <f>EQ!A64</f>
        <v>950ed53de307960251af3e387e595945da87494d2d2edf58b103f58f4ccfef78</v>
      </c>
      <c r="B18" s="3">
        <f t="array" ref="B18">XLOOKUP(A18, Notes!A:A, Notes!B:B, "")</f>
        <v>43.28</v>
      </c>
      <c r="C18" s="3" t="str">
        <f>IFERROR(IMAGE(VLOOKUP(A18,DriveImages!A:C,3,FALSE),4,240,520),"")</f>
        <v/>
      </c>
      <c r="D18" s="3" t="str">
        <f>IF($A18="","",IF(AND(N($G18)&lt;=Params!$D$2,N($H18)&lt;=Params!$E$2),"Peu actif",IF(AND(N($I18)&gt;=Params!$F$4,N($E18)&lt;=Params!$B$2,N($F18)&lt;=Params!$C$2),"Efficace",IF(AND(N($F18)&gt;=Params!$C$4,OR(N($I18)&lt;=Params!$F$3,N($E18)&gt;=Params!$B$4)),"Bloqué",IF(AND(OR(N($G18)&gt;=Params!$D$4,N($H18)&gt;=Params!$E$4),N($I18)&lt;=Params!$F$3),"Persévérant",IF(AND(N($J18)&gt;=Params!$G$4,OR(N($G18)&lt;=Params!$D$3,N($H18)&lt;=Params!$E$3)),"Sporadique","Intermédiaire"))))))</f>
        <v>Efficace</v>
      </c>
      <c r="E18" s="6">
        <f t="array" ref="E18">XLOOKUP(A18, EQ!A:A, EQ!B:B, "")</f>
        <v>0</v>
      </c>
      <c r="F18" s="6">
        <f t="array" ref="F18">XLOOKUP(A18, RED!A:A, RED!B:B, "")</f>
        <v>0</v>
      </c>
      <c r="G18" s="3">
        <f t="shared" si="2"/>
        <v>7</v>
      </c>
      <c r="H18" s="3">
        <f t="shared" ref="H18:O18" si="18">XLOOKUP($A18, INDIRECT("'"&amp;H$1&amp;"'!A:A"), INDIRECT("'"&amp;H$1&amp;"'!B:B"), "")</f>
        <v>3</v>
      </c>
      <c r="I18" s="3">
        <f t="shared" si="18"/>
        <v>0.8571428571</v>
      </c>
      <c r="J18" s="3">
        <f t="shared" si="18"/>
        <v>0.3333333333</v>
      </c>
      <c r="K18" s="3">
        <f t="shared" si="18"/>
        <v>0.65306129</v>
      </c>
      <c r="L18" s="3">
        <f t="shared" si="18"/>
        <v>5.333333333</v>
      </c>
      <c r="M18" s="3">
        <f t="shared" si="18"/>
        <v>20.2</v>
      </c>
      <c r="N18" s="3">
        <f t="shared" si="18"/>
        <v>33.03333333</v>
      </c>
      <c r="O18" s="3">
        <f t="shared" si="18"/>
        <v>10.8</v>
      </c>
    </row>
    <row r="19" ht="112.5" customHeight="1">
      <c r="A19" s="3" t="str">
        <f>EQ!A53</f>
        <v>7ce2ef889fd3931ddf910c65e58e6b626f658d713486152c54f9f8a0e6f37375</v>
      </c>
      <c r="B19" s="3">
        <f t="array" ref="B19">XLOOKUP(A19, Notes!A:A, Notes!B:B, "")</f>
        <v>74.78</v>
      </c>
      <c r="C19" s="3" t="str">
        <f>IFERROR(IMAGE(VLOOKUP(A19,DriveImages!A:C,3,FALSE),4,240,520),"")</f>
        <v/>
      </c>
      <c r="D19" s="3" t="str">
        <f>IF($A19="","",IF(AND(N($G19)&lt;=Params!$D$2,N($H19)&lt;=Params!$E$2),"Peu actif",IF(AND(N($I19)&gt;=Params!$F$4,N($E19)&lt;=Params!$B$2,N($F19)&lt;=Params!$C$2),"Efficace",IF(AND(N($F19)&gt;=Params!$C$4,OR(N($I19)&lt;=Params!$F$3,N($E19)&gt;=Params!$B$4)),"Bloqué",IF(AND(OR(N($G19)&gt;=Params!$D$4,N($H19)&gt;=Params!$E$4),N($I19)&lt;=Params!$F$3),"Persévérant",IF(AND(N($J19)&gt;=Params!$G$4,OR(N($G19)&lt;=Params!$D$3,N($H19)&lt;=Params!$E$3)),"Sporadique","Intermédiaire"))))))</f>
        <v>Efficace</v>
      </c>
      <c r="E19" s="6">
        <f t="array" ref="E19">XLOOKUP(A19, EQ!A:A, EQ!B:B, "")</f>
        <v>0.125</v>
      </c>
      <c r="F19" s="6">
        <f t="array" ref="F19">XLOOKUP(A19, RED!A:A, RED!B:B, "")</f>
        <v>0.0625</v>
      </c>
      <c r="G19" s="3">
        <f t="shared" si="2"/>
        <v>22</v>
      </c>
      <c r="H19" s="3">
        <f t="shared" ref="H19:O19" si="19">XLOOKUP($A19, INDIRECT("'"&amp;H$1&amp;"'!A:A"), INDIRECT("'"&amp;H$1&amp;"'!B:B"), "")</f>
        <v>3</v>
      </c>
      <c r="I19" s="3">
        <f t="shared" si="19"/>
        <v>0.8636363636</v>
      </c>
      <c r="J19" s="3">
        <f t="shared" si="19"/>
        <v>0.09523809524</v>
      </c>
      <c r="K19" s="3">
        <f t="shared" si="19"/>
        <v>0.81437473</v>
      </c>
      <c r="L19" s="3">
        <f t="shared" si="19"/>
        <v>5.633333333</v>
      </c>
      <c r="M19" s="3">
        <f t="shared" si="19"/>
        <v>45.23333333</v>
      </c>
      <c r="N19" s="3">
        <f t="shared" si="19"/>
        <v>7.7</v>
      </c>
      <c r="O19" s="3">
        <f t="shared" si="19"/>
        <v>0.2333333333</v>
      </c>
    </row>
    <row r="20" ht="112.5" customHeight="1">
      <c r="A20" s="3" t="str">
        <f>EQ!A8</f>
        <v>109c6e9ad83923fec425f5948621a620bad8efb25d507dbead8bcfa627bc55e6</v>
      </c>
      <c r="B20" s="3">
        <f t="array" ref="B20">XLOOKUP(A20, Notes!A:A, Notes!B:B, "")</f>
        <v>93.25</v>
      </c>
      <c r="C20" s="3" t="str">
        <f>IFERROR(IMAGE(VLOOKUP(A20,DriveImages!A:C,3,FALSE),4,240,520),"")</f>
        <v/>
      </c>
      <c r="D20" s="3" t="str">
        <f>IF($A20="","",IF(AND(N($G20)&lt;=Params!$D$2,N($H20)&lt;=Params!$E$2),"Peu actif",IF(AND(N($I20)&gt;=Params!$F$4,N($E20)&lt;=Params!$B$2,N($F20)&lt;=Params!$C$2),"Efficace",IF(AND(N($F20)&gt;=Params!$C$4,OR(N($I20)&lt;=Params!$F$3,N($E20)&gt;=Params!$B$4)),"Bloqué",IF(AND(OR(N($G20)&gt;=Params!$D$4,N($H20)&gt;=Params!$E$4),N($I20)&lt;=Params!$F$3),"Persévérant",IF(AND(N($J20)&gt;=Params!$G$4,OR(N($G20)&lt;=Params!$D$3,N($H20)&lt;=Params!$E$3)),"Sporadique","Intermédiaire"))))))</f>
        <v>Efficace</v>
      </c>
      <c r="E20" s="6">
        <f t="array" ref="E20">XLOOKUP(A20, EQ!A:A, EQ!B:B, "")</f>
        <v>0</v>
      </c>
      <c r="F20" s="6">
        <f t="array" ref="F20">XLOOKUP(A20, RED!A:A, RED!B:B, "")</f>
        <v>0</v>
      </c>
      <c r="G20" s="3">
        <f t="shared" si="2"/>
        <v>18</v>
      </c>
      <c r="H20" s="3">
        <f t="shared" ref="H20:O20" si="20">XLOOKUP($A20, INDIRECT("'"&amp;H$1&amp;"'!A:A"), INDIRECT("'"&amp;H$1&amp;"'!B:B"), "")</f>
        <v>1</v>
      </c>
      <c r="I20" s="3">
        <f t="shared" si="20"/>
        <v>0.7777777778</v>
      </c>
      <c r="J20" s="3">
        <f t="shared" si="20"/>
        <v>0</v>
      </c>
      <c r="K20" s="3">
        <f t="shared" si="20"/>
        <v>0.73544978</v>
      </c>
      <c r="L20" s="3">
        <f t="shared" si="20"/>
        <v>5.666666667</v>
      </c>
      <c r="M20" s="3">
        <f t="shared" si="20"/>
        <v>33.2</v>
      </c>
      <c r="N20" s="3">
        <f t="shared" si="20"/>
        <v>19.7</v>
      </c>
      <c r="O20" s="3">
        <f t="shared" si="20"/>
        <v>0.3</v>
      </c>
    </row>
    <row r="21" ht="112.5" customHeight="1">
      <c r="A21" s="3" t="str">
        <f>EQ!A98</f>
        <v>e3d00c0bcfea6e4a68c5c4842d0bedac5e761cfa5be62ec60aae839f44a7f555</v>
      </c>
      <c r="B21" s="3">
        <f t="array" ref="B21">XLOOKUP(A21, Notes!A:A, Notes!B:B, "")</f>
        <v>62.59</v>
      </c>
      <c r="C21" s="3" t="str">
        <f>IFERROR(IMAGE(VLOOKUP(A21,DriveImages!A:C,3,FALSE),4,240,520),"")</f>
        <v/>
      </c>
      <c r="D21" s="3" t="str">
        <f>IF($A21="","",IF(AND(N($G21)&lt;=Params!$D$2,N($H21)&lt;=Params!$E$2),"Peu actif",IF(AND(N($I21)&gt;=Params!$F$4,N($E21)&lt;=Params!$B$2,N($F21)&lt;=Params!$C$2),"Efficace",IF(AND(N($F21)&gt;=Params!$C$4,OR(N($I21)&lt;=Params!$F$3,N($E21)&gt;=Params!$B$4)),"Bloqué",IF(AND(OR(N($G21)&gt;=Params!$D$4,N($H21)&gt;=Params!$E$4),N($I21)&lt;=Params!$F$3),"Persévérant",IF(AND(N($J21)&gt;=Params!$G$4,OR(N($G21)&lt;=Params!$D$3,N($H21)&lt;=Params!$E$3)),"Sporadique","Intermédiaire"))))))</f>
        <v>Efficace</v>
      </c>
      <c r="E21" s="6">
        <f t="array" ref="E21">XLOOKUP(A21, EQ!A:A, EQ!B:B, "")</f>
        <v>0</v>
      </c>
      <c r="F21" s="6">
        <f t="array" ref="F21">XLOOKUP(A21, RED!A:A, RED!B:B, "")</f>
        <v>0</v>
      </c>
      <c r="G21" s="3">
        <f t="shared" si="2"/>
        <v>12</v>
      </c>
      <c r="H21" s="3">
        <f t="shared" ref="H21:O21" si="21">XLOOKUP($A21, INDIRECT("'"&amp;H$1&amp;"'!A:A"), INDIRECT("'"&amp;H$1&amp;"'!B:B"), "")</f>
        <v>3</v>
      </c>
      <c r="I21" s="3">
        <f t="shared" si="21"/>
        <v>0.9166666667</v>
      </c>
      <c r="J21" s="3">
        <f t="shared" si="21"/>
        <v>0.1818181818</v>
      </c>
      <c r="K21" s="3">
        <f t="shared" si="21"/>
        <v>0.628788</v>
      </c>
      <c r="L21" s="3">
        <f t="shared" si="21"/>
        <v>5.666666667</v>
      </c>
      <c r="M21" s="3">
        <f t="shared" si="21"/>
        <v>34.28333333</v>
      </c>
      <c r="N21" s="3">
        <f t="shared" si="21"/>
        <v>18.61666667</v>
      </c>
      <c r="O21" s="3">
        <f t="shared" si="21"/>
        <v>6.733333333</v>
      </c>
    </row>
    <row r="22" ht="112.5" customHeight="1">
      <c r="A22" s="3" t="str">
        <f>EQ!A4</f>
        <v>091dc109aa58c7a670f4b61bc23df548fec73c05c7582dfb7c51f3a925d3618f</v>
      </c>
      <c r="B22" s="3">
        <f t="array" ref="B22">XLOOKUP(A22, Notes!A:A, Notes!B:B, "")</f>
        <v>68.44</v>
      </c>
      <c r="C22" s="3" t="str">
        <f>IFERROR(IMAGE(VLOOKUP(A22,DriveImages!A:C,3,FALSE),4,240,520),"")</f>
        <v/>
      </c>
      <c r="D22" s="3" t="str">
        <f>IF($A22="","",IF(AND(N($G22)&lt;=Params!$D$2,N($H22)&lt;=Params!$E$2),"Peu actif",IF(AND(N($I22)&gt;=Params!$F$4,N($E22)&lt;=Params!$B$2,N($F22)&lt;=Params!$C$2),"Efficace",IF(AND(N($F22)&gt;=Params!$C$4,OR(N($I22)&lt;=Params!$F$3,N($E22)&gt;=Params!$B$4)),"Bloqué",IF(AND(OR(N($G22)&gt;=Params!$D$4,N($H22)&gt;=Params!$E$4),N($I22)&lt;=Params!$F$3),"Persévérant",IF(AND(N($J22)&gt;=Params!$G$4,OR(N($G22)&lt;=Params!$D$3,N($H22)&lt;=Params!$E$3)),"Sporadique","Intermédiaire"))))))</f>
        <v>Efficace</v>
      </c>
      <c r="E22" s="6">
        <f t="array" ref="E22">XLOOKUP(A22, EQ!A:A, EQ!B:B, "")</f>
        <v>0.04545454545</v>
      </c>
      <c r="F22" s="6">
        <f t="array" ref="F22">XLOOKUP(A22, RED!A:A, RED!B:B, "")</f>
        <v>0.02272727</v>
      </c>
      <c r="G22" s="3">
        <f t="shared" si="2"/>
        <v>29</v>
      </c>
      <c r="H22" s="3">
        <f t="shared" ref="H22:O22" si="22">XLOOKUP($A22, INDIRECT("'"&amp;H$1&amp;"'!A:A"), INDIRECT("'"&amp;H$1&amp;"'!B:B"), "")</f>
        <v>4</v>
      </c>
      <c r="I22" s="3">
        <f t="shared" si="22"/>
        <v>0.8965517241</v>
      </c>
      <c r="J22" s="3">
        <f t="shared" si="22"/>
        <v>0.1071428571</v>
      </c>
      <c r="K22" s="3">
        <f t="shared" si="22"/>
        <v>0.87335797</v>
      </c>
      <c r="L22" s="3">
        <f t="shared" si="22"/>
        <v>5.916666667</v>
      </c>
      <c r="M22" s="3">
        <f t="shared" si="22"/>
        <v>45.6</v>
      </c>
      <c r="N22" s="3">
        <f t="shared" si="22"/>
        <v>7.05</v>
      </c>
      <c r="O22" s="3">
        <f t="shared" si="22"/>
        <v>1.15</v>
      </c>
    </row>
    <row r="23" ht="112.5" customHeight="1">
      <c r="A23" s="3" t="str">
        <f>EQ!A51</f>
        <v>7854ad4022596904b137ebbb044e0bbbd2f590b0dac7f5a46d9991f3c049d647</v>
      </c>
      <c r="B23" s="3">
        <f t="array" ref="B23">XLOOKUP(A23, Notes!A:A, Notes!B:B, "")</f>
        <v>45.5</v>
      </c>
      <c r="C23" s="3" t="str">
        <f>IFERROR(IMAGE(VLOOKUP(A23,DriveImages!A:C,3,FALSE),4,240,520),"")</f>
        <v/>
      </c>
      <c r="D23" s="3" t="str">
        <f>IF($A23="","",IF(AND(N($G23)&lt;=Params!$D$2,N($H23)&lt;=Params!$E$2),"Peu actif",IF(AND(N($I23)&gt;=Params!$F$4,N($E23)&lt;=Params!$B$2,N($F23)&lt;=Params!$C$2),"Efficace",IF(AND(N($F23)&gt;=Params!$C$4,OR(N($I23)&lt;=Params!$F$3,N($E23)&gt;=Params!$B$4)),"Bloqué",IF(AND(OR(N($G23)&gt;=Params!$D$4,N($H23)&gt;=Params!$E$4),N($I23)&lt;=Params!$F$3),"Persévérant",IF(AND(N($J23)&gt;=Params!$G$4,OR(N($G23)&lt;=Params!$D$3,N($H23)&lt;=Params!$E$3)),"Sporadique","Intermédiaire"))))))</f>
        <v>Bloqué</v>
      </c>
      <c r="E23" s="6">
        <f t="array" ref="E23">XLOOKUP(A23, EQ!A:A, EQ!B:B, "")</f>
        <v>1</v>
      </c>
      <c r="F23" s="6">
        <f t="array" ref="F23">XLOOKUP(A23, RED!A:A, RED!B:B, "")</f>
        <v>0.93333333</v>
      </c>
      <c r="G23" s="3">
        <f t="shared" si="2"/>
        <v>16</v>
      </c>
      <c r="H23" s="3">
        <f t="shared" ref="H23:O23" si="23">XLOOKUP($A23, INDIRECT("'"&amp;H$1&amp;"'!A:A"), INDIRECT("'"&amp;H$1&amp;"'!B:B"), "")</f>
        <v>3</v>
      </c>
      <c r="I23" s="3">
        <f t="shared" si="23"/>
        <v>0</v>
      </c>
      <c r="J23" s="3">
        <f t="shared" si="23"/>
        <v>0.1333333333</v>
      </c>
      <c r="K23" s="3">
        <f t="shared" si="23"/>
        <v>0</v>
      </c>
      <c r="L23" s="3">
        <f t="shared" si="23"/>
        <v>6.066666667</v>
      </c>
      <c r="M23" s="3">
        <f t="shared" si="23"/>
        <v>36.25</v>
      </c>
      <c r="N23" s="3">
        <f t="shared" si="23"/>
        <v>16.25</v>
      </c>
      <c r="O23" s="3">
        <f t="shared" si="23"/>
        <v>60</v>
      </c>
    </row>
    <row r="24" ht="112.5" customHeight="1">
      <c r="A24" s="3" t="str">
        <f>EQ!A66</f>
        <v>95e604186e18386f749a6d26e0868477c65803267b7c4d7bf606f77b8bbe1da4</v>
      </c>
      <c r="B24" s="3">
        <f t="array" ref="B24">XLOOKUP(A24, Notes!A:A, Notes!B:B, "")</f>
        <v>60.89</v>
      </c>
      <c r="C24" s="3" t="str">
        <f>IFERROR(IMAGE(VLOOKUP(A24,DriveImages!A:C,3,FALSE),4,240,520),"")</f>
        <v/>
      </c>
      <c r="D24" s="3" t="str">
        <f>IF($A24="","",IF(AND(N($G24)&lt;=Params!$D$2,N($H24)&lt;=Params!$E$2),"Peu actif",IF(AND(N($I24)&gt;=Params!$F$4,N($E24)&lt;=Params!$B$2,N($F24)&lt;=Params!$C$2),"Efficace",IF(AND(N($F24)&gt;=Params!$C$4,OR(N($I24)&lt;=Params!$F$3,N($E24)&gt;=Params!$B$4)),"Bloqué",IF(AND(OR(N($G24)&gt;=Params!$D$4,N($H24)&gt;=Params!$E$4),N($I24)&lt;=Params!$F$3),"Persévérant",IF(AND(N($J24)&gt;=Params!$G$4,OR(N($G24)&lt;=Params!$D$3,N($H24)&lt;=Params!$E$3)),"Sporadique","Intermédiaire"))))))</f>
        <v>Persévérant</v>
      </c>
      <c r="E24" s="6">
        <f t="array" ref="E24">XLOOKUP(A24, EQ!A:A, EQ!B:B, "")</f>
        <v>0.5789473684</v>
      </c>
      <c r="F24" s="6">
        <f t="array" ref="F24">XLOOKUP(A24, RED!A:A, RED!B:B, "")</f>
        <v>0.49649123</v>
      </c>
      <c r="G24" s="3">
        <f t="shared" si="2"/>
        <v>23</v>
      </c>
      <c r="H24" s="3">
        <f t="shared" ref="H24:O24" si="24">XLOOKUP($A24, INDIRECT("'"&amp;H$1&amp;"'!A:A"), INDIRECT("'"&amp;H$1&amp;"'!B:B"), "")</f>
        <v>3</v>
      </c>
      <c r="I24" s="3">
        <f t="shared" si="24"/>
        <v>0.3913043478</v>
      </c>
      <c r="J24" s="3">
        <f t="shared" si="24"/>
        <v>0.09090909091</v>
      </c>
      <c r="K24" s="3">
        <f t="shared" si="24"/>
        <v>0.32095596</v>
      </c>
      <c r="L24" s="3">
        <f t="shared" si="24"/>
        <v>6.85</v>
      </c>
      <c r="M24" s="3">
        <f t="shared" si="24"/>
        <v>44.71666667</v>
      </c>
      <c r="N24" s="3">
        <f t="shared" si="24"/>
        <v>7</v>
      </c>
      <c r="O24" s="3">
        <f t="shared" si="24"/>
        <v>16.21666667</v>
      </c>
    </row>
    <row r="25" ht="112.5" customHeight="1">
      <c r="A25" s="3" t="str">
        <f>EQ!A110</f>
        <v>fcf731e2be9a1377e7aed9c84be49e59ff2b3595fd86235d37d58011462b8fcf</v>
      </c>
      <c r="B25" s="3">
        <f t="array" ref="B25">XLOOKUP(A25, Notes!A:A, Notes!B:B, "")</f>
        <v>55.16</v>
      </c>
      <c r="C25" s="3" t="str">
        <f>IFERROR(IMAGE(VLOOKUP(A25,DriveImages!A:C,3,FALSE),4,240,520),"")</f>
        <v/>
      </c>
      <c r="D25" s="3" t="str">
        <f>IF($A25="","",IF(AND(N($G25)&lt;=Params!$D$2,N($H25)&lt;=Params!$E$2),"Peu actif",IF(AND(N($I25)&gt;=Params!$F$4,N($E25)&lt;=Params!$B$2,N($F25)&lt;=Params!$C$2),"Efficace",IF(AND(N($F25)&gt;=Params!$C$4,OR(N($I25)&lt;=Params!$F$3,N($E25)&gt;=Params!$B$4)),"Bloqué",IF(AND(OR(N($G25)&gt;=Params!$D$4,N($H25)&gt;=Params!$E$4),N($I25)&lt;=Params!$F$3),"Persévérant",IF(AND(N($J25)&gt;=Params!$G$4,OR(N($G25)&lt;=Params!$D$3,N($H25)&lt;=Params!$E$3)),"Sporadique","Intermédiaire"))))))</f>
        <v>Bloqué</v>
      </c>
      <c r="E25" s="6">
        <f t="array" ref="E25">XLOOKUP(A25, EQ!A:A, EQ!B:B, "")</f>
        <v>1</v>
      </c>
      <c r="F25" s="6">
        <f t="array" ref="F25">XLOOKUP(A25, RED!A:A, RED!B:B, "")</f>
        <v>0.90909091</v>
      </c>
      <c r="G25" s="3">
        <f t="shared" si="2"/>
        <v>11</v>
      </c>
      <c r="H25" s="3">
        <f t="shared" ref="H25:O25" si="25">XLOOKUP($A25, INDIRECT("'"&amp;H$1&amp;"'!A:A"), INDIRECT("'"&amp;H$1&amp;"'!B:B"), "")</f>
        <v>2</v>
      </c>
      <c r="I25" s="3">
        <f t="shared" si="25"/>
        <v>0</v>
      </c>
      <c r="J25" s="3">
        <f t="shared" si="25"/>
        <v>0.1</v>
      </c>
      <c r="K25" s="3">
        <f t="shared" si="25"/>
        <v>0</v>
      </c>
      <c r="L25" s="3">
        <f t="shared" si="25"/>
        <v>7.333333333</v>
      </c>
      <c r="M25" s="3">
        <f t="shared" si="25"/>
        <v>23.03333333</v>
      </c>
      <c r="N25" s="3">
        <f t="shared" si="25"/>
        <v>28.2</v>
      </c>
      <c r="O25" s="3">
        <f t="shared" si="25"/>
        <v>60</v>
      </c>
    </row>
    <row r="26" ht="112.5" customHeight="1">
      <c r="A26" s="3" t="str">
        <f>EQ!A95</f>
        <v>d981675479ab443031cba32f40c3dca9e031547c59346a4c0ea7c624c054d936</v>
      </c>
      <c r="B26" s="3">
        <f t="array" ref="B26">XLOOKUP(A26, Notes!A:A, Notes!B:B, "")</f>
        <v>54.94</v>
      </c>
      <c r="C26" s="3" t="str">
        <f>IFERROR(IMAGE(VLOOKUP(A26,DriveImages!A:C,3,FALSE),4,240,520),"")</f>
        <v/>
      </c>
      <c r="D26" s="3" t="str">
        <f>IF($A26="","",IF(AND(N($G26)&lt;=Params!$D$2,N($H26)&lt;=Params!$E$2),"Peu actif",IF(AND(N($I26)&gt;=Params!$F$4,N($E26)&lt;=Params!$B$2,N($F26)&lt;=Params!$C$2),"Efficace",IF(AND(N($F26)&gt;=Params!$C$4,OR(N($I26)&lt;=Params!$F$3,N($E26)&gt;=Params!$B$4)),"Bloqué",IF(AND(OR(N($G26)&gt;=Params!$D$4,N($H26)&gt;=Params!$E$4),N($I26)&lt;=Params!$F$3),"Persévérant",IF(AND(N($J26)&gt;=Params!$G$4,OR(N($G26)&lt;=Params!$D$3,N($H26)&lt;=Params!$E$3)),"Sporadique","Intermédiaire"))))))</f>
        <v>Bloqué</v>
      </c>
      <c r="E26" s="6">
        <f t="array" ref="E26">XLOOKUP(A26, EQ!A:A, EQ!B:B, "")</f>
        <v>0.75</v>
      </c>
      <c r="F26" s="6">
        <f t="array" ref="F26">XLOOKUP(A26, RED!A:A, RED!B:B, "")</f>
        <v>0.61607143</v>
      </c>
      <c r="G26" s="3">
        <f t="shared" si="2"/>
        <v>14</v>
      </c>
      <c r="H26" s="3">
        <f t="shared" ref="H26:O26" si="26">XLOOKUP($A26, INDIRECT("'"&amp;H$1&amp;"'!A:A"), INDIRECT("'"&amp;H$1&amp;"'!B:B"), "")</f>
        <v>2</v>
      </c>
      <c r="I26" s="3">
        <f t="shared" si="26"/>
        <v>0.2142857143</v>
      </c>
      <c r="J26" s="3">
        <f t="shared" si="26"/>
        <v>0.07692307692</v>
      </c>
      <c r="K26" s="3">
        <f t="shared" si="26"/>
        <v>0.19565214</v>
      </c>
      <c r="L26" s="3">
        <f t="shared" si="26"/>
        <v>7.383333333</v>
      </c>
      <c r="M26" s="3">
        <f t="shared" si="26"/>
        <v>18.68333333</v>
      </c>
      <c r="N26" s="3">
        <f t="shared" si="26"/>
        <v>32.5</v>
      </c>
      <c r="O26" s="3">
        <f t="shared" si="26"/>
        <v>5.35</v>
      </c>
    </row>
    <row r="27" ht="112.5" customHeight="1">
      <c r="A27" s="3" t="str">
        <f>EQ!A72</f>
        <v>ad1624c5c3a02a3a3b3dcb044b912998b64ca2e7cd54abe79476f86a41a3234b</v>
      </c>
      <c r="B27" s="3">
        <f t="array" ref="B27">XLOOKUP(A27, Notes!A:A, Notes!B:B, "")</f>
        <v>55.71</v>
      </c>
      <c r="C27" s="3" t="str">
        <f>IFERROR(IMAGE(VLOOKUP(A27,DriveImages!A:C,3,FALSE),4,240,520),"")</f>
        <v/>
      </c>
      <c r="D27" s="3" t="str">
        <f>IF($A27="","",IF(AND(N($G27)&lt;=Params!$D$2,N($H27)&lt;=Params!$E$2),"Peu actif",IF(AND(N($I27)&gt;=Params!$F$4,N($E27)&lt;=Params!$B$2,N($F27)&lt;=Params!$C$2),"Efficace",IF(AND(N($F27)&gt;=Params!$C$4,OR(N($I27)&lt;=Params!$F$3,N($E27)&gt;=Params!$B$4)),"Bloqué",IF(AND(OR(N($G27)&gt;=Params!$D$4,N($H27)&gt;=Params!$E$4),N($I27)&lt;=Params!$F$3),"Persévérant",IF(AND(N($J27)&gt;=Params!$G$4,OR(N($G27)&lt;=Params!$D$3,N($H27)&lt;=Params!$E$3)),"Sporadique","Intermédiaire"))))))</f>
        <v>Efficace</v>
      </c>
      <c r="E27" s="6">
        <f t="array" ref="E27">XLOOKUP(A27, EQ!A:A, EQ!B:B, "")</f>
        <v>0</v>
      </c>
      <c r="F27" s="6">
        <f t="array" ref="F27">XLOOKUP(A27, RED!A:A, RED!B:B, "")</f>
        <v>0</v>
      </c>
      <c r="G27" s="3">
        <f t="shared" si="2"/>
        <v>7</v>
      </c>
      <c r="H27" s="3">
        <f t="shared" ref="H27:O27" si="27">XLOOKUP($A27, INDIRECT("'"&amp;H$1&amp;"'!A:A"), INDIRECT("'"&amp;H$1&amp;"'!B:B"), "")</f>
        <v>3</v>
      </c>
      <c r="I27" s="3">
        <f t="shared" si="27"/>
        <v>0.8571428571</v>
      </c>
      <c r="J27" s="3">
        <f t="shared" si="27"/>
        <v>0.3333333333</v>
      </c>
      <c r="K27" s="3">
        <f t="shared" si="27"/>
        <v>0.63428571</v>
      </c>
      <c r="L27" s="3">
        <f t="shared" si="27"/>
        <v>7.8</v>
      </c>
      <c r="M27" s="3">
        <f t="shared" si="27"/>
        <v>44.21666667</v>
      </c>
      <c r="N27" s="3">
        <f t="shared" si="27"/>
        <v>6.55</v>
      </c>
      <c r="O27" s="3">
        <f t="shared" si="27"/>
        <v>0</v>
      </c>
    </row>
    <row r="28" ht="112.5" customHeight="1">
      <c r="A28" s="3" t="str">
        <f>EQ!A59</f>
        <v>8c496c831c776415f7491e6de8457bb88c62eefeff270c8e0dbec39b78b9413d</v>
      </c>
      <c r="B28" s="3">
        <f t="array" ref="B28">XLOOKUP(A28, Notes!A:A, Notes!B:B, "")</f>
        <v>72.99</v>
      </c>
      <c r="C28" s="3" t="str">
        <f>IFERROR(IMAGE(VLOOKUP(A28,DriveImages!A:C,3,FALSE),4,240,520),"")</f>
        <v/>
      </c>
      <c r="D28" s="3" t="str">
        <f>IF($A28="","",IF(AND(N($G28)&lt;=Params!$D$2,N($H28)&lt;=Params!$E$2),"Peu actif",IF(AND(N($I28)&gt;=Params!$F$4,N($E28)&lt;=Params!$B$2,N($F28)&lt;=Params!$C$2),"Efficace",IF(AND(N($F28)&gt;=Params!$C$4,OR(N($I28)&lt;=Params!$F$3,N($E28)&gt;=Params!$B$4)),"Bloqué",IF(AND(OR(N($G28)&gt;=Params!$D$4,N($H28)&gt;=Params!$E$4),N($I28)&lt;=Params!$F$3),"Persévérant",IF(AND(N($J28)&gt;=Params!$G$4,OR(N($G28)&lt;=Params!$D$3,N($H28)&lt;=Params!$E$3)),"Sporadique","Intermédiaire"))))))</f>
        <v>Sporadique</v>
      </c>
      <c r="E28" s="6">
        <f t="array" ref="E28">XLOOKUP(A28, EQ!A:A, EQ!B:B, "")</f>
        <v>0</v>
      </c>
      <c r="F28" s="6">
        <f t="array" ref="F28">XLOOKUP(A28, RED!A:A, RED!B:B, "")</f>
        <v>0</v>
      </c>
      <c r="G28" s="3">
        <f t="shared" si="2"/>
        <v>10</v>
      </c>
      <c r="H28" s="3">
        <f t="shared" ref="H28:O28" si="28">XLOOKUP($A28, INDIRECT("'"&amp;H$1&amp;"'!A:A"), INDIRECT("'"&amp;H$1&amp;"'!B:B"), "")</f>
        <v>3</v>
      </c>
      <c r="I28" s="3">
        <f t="shared" si="28"/>
        <v>0.6</v>
      </c>
      <c r="J28" s="3">
        <f t="shared" si="28"/>
        <v>0.2222222222</v>
      </c>
      <c r="K28" s="3">
        <f t="shared" si="28"/>
        <v>0.5466667</v>
      </c>
      <c r="L28" s="3">
        <f t="shared" si="28"/>
        <v>7.85</v>
      </c>
      <c r="M28" s="3">
        <f t="shared" si="28"/>
        <v>23.9</v>
      </c>
      <c r="N28" s="3">
        <f t="shared" si="28"/>
        <v>26.81666667</v>
      </c>
      <c r="O28" s="3">
        <f t="shared" si="28"/>
        <v>0.2833333333</v>
      </c>
    </row>
    <row r="29" ht="112.5" customHeight="1">
      <c r="A29" s="3" t="str">
        <f>EQ!A38</f>
        <v>5e8589d4cd67c4b88f84e378d72875ccd07de5c9e20cc666bbf217de9d3567b4</v>
      </c>
      <c r="B29" s="3">
        <f t="array" ref="B29">XLOOKUP(A29, Notes!A:A, Notes!B:B, "")</f>
        <v>89.45</v>
      </c>
      <c r="C29" s="3" t="str">
        <f>IFERROR(IMAGE(VLOOKUP(A29,DriveImages!A:C,3,FALSE),4,240,520),"")</f>
        <v/>
      </c>
      <c r="D29" s="3" t="str">
        <f>IF($A29="","",IF(AND(N($G29)&lt;=Params!$D$2,N($H29)&lt;=Params!$E$2),"Peu actif",IF(AND(N($I29)&gt;=Params!$F$4,N($E29)&lt;=Params!$B$2,N($F29)&lt;=Params!$C$2),"Efficace",IF(AND(N($F29)&gt;=Params!$C$4,OR(N($I29)&lt;=Params!$F$3,N($E29)&gt;=Params!$B$4)),"Bloqué",IF(AND(OR(N($G29)&gt;=Params!$D$4,N($H29)&gt;=Params!$E$4),N($I29)&lt;=Params!$F$3),"Persévérant",IF(AND(N($J29)&gt;=Params!$G$4,OR(N($G29)&lt;=Params!$D$3,N($H29)&lt;=Params!$E$3)),"Sporadique","Intermédiaire"))))))</f>
        <v>Efficace</v>
      </c>
      <c r="E29" s="6">
        <f t="array" ref="E29">XLOOKUP(A29, EQ!A:A, EQ!B:B, "")</f>
        <v>0</v>
      </c>
      <c r="F29" s="6">
        <f t="array" ref="F29">XLOOKUP(A29, RED!A:A, RED!B:B, "")</f>
        <v>0</v>
      </c>
      <c r="G29" s="3">
        <f t="shared" si="2"/>
        <v>23</v>
      </c>
      <c r="H29" s="3">
        <f t="shared" ref="H29:O29" si="29">XLOOKUP($A29, INDIRECT("'"&amp;H$1&amp;"'!A:A"), INDIRECT("'"&amp;H$1&amp;"'!B:B"), "")</f>
        <v>3</v>
      </c>
      <c r="I29" s="3">
        <f t="shared" si="29"/>
        <v>0.8695652174</v>
      </c>
      <c r="J29" s="3">
        <f t="shared" si="29"/>
        <v>0.09090909091</v>
      </c>
      <c r="K29" s="3">
        <f t="shared" si="29"/>
        <v>0.6788357</v>
      </c>
      <c r="L29" s="3">
        <f t="shared" si="29"/>
        <v>8.933333333</v>
      </c>
      <c r="M29" s="3">
        <f t="shared" si="29"/>
        <v>38.35</v>
      </c>
      <c r="N29" s="3">
        <f t="shared" si="29"/>
        <v>11.28333333</v>
      </c>
      <c r="O29" s="3">
        <f t="shared" si="29"/>
        <v>5.25</v>
      </c>
    </row>
    <row r="30" ht="112.5" customHeight="1">
      <c r="A30" s="3" t="str">
        <f>EQ!A37</f>
        <v>5d60fc4768a0d01e3d533d2d5353bdffb58877bc2971bc7053a54071fa4c2f49</v>
      </c>
      <c r="B30" s="3">
        <f t="array" ref="B30">XLOOKUP(A30, Notes!A:A, Notes!B:B, "")</f>
        <v>75.96</v>
      </c>
      <c r="C30" s="3" t="str">
        <f>IFERROR(IMAGE(VLOOKUP(A30,DriveImages!A:C,3,FALSE),4,240,520),"")</f>
        <v/>
      </c>
      <c r="D30" s="3" t="str">
        <f>IF($A30="","",IF(AND(N($G30)&lt;=Params!$D$2,N($H30)&lt;=Params!$E$2),"Peu actif",IF(AND(N($I30)&gt;=Params!$F$4,N($E30)&lt;=Params!$B$2,N($F30)&lt;=Params!$C$2),"Efficace",IF(AND(N($F30)&gt;=Params!$C$4,OR(N($I30)&lt;=Params!$F$3,N($E30)&gt;=Params!$B$4)),"Bloqué",IF(AND(OR(N($G30)&gt;=Params!$D$4,N($H30)&gt;=Params!$E$4),N($I30)&lt;=Params!$F$3),"Persévérant",IF(AND(N($J30)&gt;=Params!$G$4,OR(N($G30)&lt;=Params!$D$3,N($H30)&lt;=Params!$E$3)),"Sporadique","Intermédiaire"))))))</f>
        <v>Intermédiaire</v>
      </c>
      <c r="E30" s="6">
        <f t="array" ref="E30">XLOOKUP(A30, EQ!A:A, EQ!B:B, "")</f>
        <v>0.2777777778</v>
      </c>
      <c r="F30" s="6">
        <f t="array" ref="F30">XLOOKUP(A30, RED!A:A, RED!B:B, "")</f>
        <v>0.18055556</v>
      </c>
      <c r="G30" s="3">
        <f t="shared" si="2"/>
        <v>25</v>
      </c>
      <c r="H30" s="3">
        <f t="shared" ref="H30:O30" si="30">XLOOKUP($A30, INDIRECT("'"&amp;H$1&amp;"'!A:A"), INDIRECT("'"&amp;H$1&amp;"'!B:B"), "")</f>
        <v>3</v>
      </c>
      <c r="I30" s="3">
        <f t="shared" si="30"/>
        <v>0.52</v>
      </c>
      <c r="J30" s="3">
        <f t="shared" si="30"/>
        <v>0.08333333333</v>
      </c>
      <c r="K30" s="3">
        <f t="shared" si="30"/>
        <v>0.4624638</v>
      </c>
      <c r="L30" s="3">
        <f t="shared" si="30"/>
        <v>9.083333333</v>
      </c>
      <c r="M30" s="3">
        <f t="shared" si="30"/>
        <v>42.16666667</v>
      </c>
      <c r="N30" s="3">
        <f t="shared" si="30"/>
        <v>7.316666667</v>
      </c>
      <c r="O30" s="3">
        <f t="shared" si="30"/>
        <v>11.16666667</v>
      </c>
    </row>
    <row r="31" ht="112.5" customHeight="1">
      <c r="A31" s="3" t="str">
        <f>EQ!A55</f>
        <v>8630de5bd303be8b63ba99b787f0f5ed4422765c8917b234cb8a2af6b762ca1d</v>
      </c>
      <c r="B31" s="3">
        <f t="array" ref="B31">XLOOKUP(A31, Notes!A:A, Notes!B:B, "")</f>
        <v>34.25</v>
      </c>
      <c r="C31" s="3" t="str">
        <f>IFERROR(IMAGE(VLOOKUP(A31,DriveImages!A:C,3,FALSE),4,240,520),"")</f>
        <v/>
      </c>
      <c r="D31" s="3" t="str">
        <f>IF($A31="","",IF(AND(N($G31)&lt;=Params!$D$2,N($H31)&lt;=Params!$E$2),"Peu actif",IF(AND(N($I31)&gt;=Params!$F$4,N($E31)&lt;=Params!$B$2,N($F31)&lt;=Params!$C$2),"Efficace",IF(AND(N($F31)&gt;=Params!$C$4,OR(N($I31)&lt;=Params!$F$3,N($E31)&gt;=Params!$B$4)),"Bloqué",IF(AND(OR(N($G31)&gt;=Params!$D$4,N($H31)&gt;=Params!$E$4),N($I31)&lt;=Params!$F$3),"Persévérant",IF(AND(N($J31)&gt;=Params!$G$4,OR(N($G31)&lt;=Params!$D$3,N($H31)&lt;=Params!$E$3)),"Sporadique","Intermédiaire"))))))</f>
        <v>Bloqué</v>
      </c>
      <c r="E31" s="6">
        <f t="array" ref="E31">XLOOKUP(A31, EQ!A:A, EQ!B:B, "")</f>
        <v>0.7</v>
      </c>
      <c r="F31" s="6">
        <f t="array" ref="F31">XLOOKUP(A31, RED!A:A, RED!B:B, "")</f>
        <v>0.6125</v>
      </c>
      <c r="G31" s="3">
        <f t="shared" si="2"/>
        <v>11</v>
      </c>
      <c r="H31" s="3">
        <f t="shared" ref="H31:O31" si="31">XLOOKUP($A31, INDIRECT("'"&amp;H$1&amp;"'!A:A"), INDIRECT("'"&amp;H$1&amp;"'!B:B"), "")</f>
        <v>3</v>
      </c>
      <c r="I31" s="3">
        <f t="shared" si="31"/>
        <v>0.2727272727</v>
      </c>
      <c r="J31" s="3">
        <f t="shared" si="31"/>
        <v>0.2</v>
      </c>
      <c r="K31" s="3">
        <f t="shared" si="31"/>
        <v>0.24901191</v>
      </c>
      <c r="L31" s="3">
        <f t="shared" si="31"/>
        <v>9.55</v>
      </c>
      <c r="M31" s="3">
        <f t="shared" si="31"/>
        <v>37.9</v>
      </c>
      <c r="N31" s="3">
        <f t="shared" si="31"/>
        <v>11.11666667</v>
      </c>
      <c r="O31" s="3">
        <f t="shared" si="31"/>
        <v>60</v>
      </c>
    </row>
    <row r="32" ht="112.5" customHeight="1">
      <c r="A32" s="3" t="str">
        <f>EQ!A57</f>
        <v>88faa9b4e525ea83f6efab60ae88469da5222f0b0f52c16c3af4e4763baa1daf</v>
      </c>
      <c r="B32" s="3">
        <f t="array" ref="B32">XLOOKUP(A32, Notes!A:A, Notes!B:B, "")</f>
        <v>59.75</v>
      </c>
      <c r="C32" s="3" t="str">
        <f>IFERROR(IMAGE(VLOOKUP(A32,DriveImages!A:C,3,FALSE),4,240,520),"")</f>
        <v/>
      </c>
      <c r="D32" s="3" t="str">
        <f>IF($A32="","",IF(AND(N($G32)&lt;=Params!$D$2,N($H32)&lt;=Params!$E$2),"Peu actif",IF(AND(N($I32)&gt;=Params!$F$4,N($E32)&lt;=Params!$B$2,N($F32)&lt;=Params!$C$2),"Efficace",IF(AND(N($F32)&gt;=Params!$C$4,OR(N($I32)&lt;=Params!$F$3,N($E32)&gt;=Params!$B$4)),"Bloqué",IF(AND(OR(N($G32)&gt;=Params!$D$4,N($H32)&gt;=Params!$E$4),N($I32)&lt;=Params!$F$3),"Persévérant",IF(AND(N($J32)&gt;=Params!$G$4,OR(N($G32)&lt;=Params!$D$3,N($H32)&lt;=Params!$E$3)),"Sporadique","Intermédiaire"))))))</f>
        <v>Intermédiaire</v>
      </c>
      <c r="E32" s="6">
        <f t="array" ref="E32">XLOOKUP(A32, EQ!A:A, EQ!B:B, "")</f>
        <v>0.1666666667</v>
      </c>
      <c r="F32" s="6">
        <f t="array" ref="F32">XLOOKUP(A32, RED!A:A, RED!B:B, "")</f>
        <v>0.11111111</v>
      </c>
      <c r="G32" s="3">
        <f t="shared" si="2"/>
        <v>14</v>
      </c>
      <c r="H32" s="3">
        <f t="shared" ref="H32:O32" si="32">XLOOKUP($A32, INDIRECT("'"&amp;H$1&amp;"'!A:A"), INDIRECT("'"&amp;H$1&amp;"'!B:B"), "")</f>
        <v>1</v>
      </c>
      <c r="I32" s="3">
        <f t="shared" si="32"/>
        <v>0.6428571429</v>
      </c>
      <c r="J32" s="3">
        <f t="shared" si="32"/>
        <v>0</v>
      </c>
      <c r="K32" s="3">
        <f t="shared" si="32"/>
        <v>0.48701307</v>
      </c>
      <c r="L32" s="3">
        <f t="shared" si="32"/>
        <v>9.783333333</v>
      </c>
      <c r="M32" s="3">
        <f t="shared" si="32"/>
        <v>10.05</v>
      </c>
      <c r="N32" s="3">
        <f t="shared" si="32"/>
        <v>38.73333333</v>
      </c>
      <c r="O32" s="3">
        <f t="shared" si="32"/>
        <v>2.533333333</v>
      </c>
    </row>
    <row r="33" ht="112.5" customHeight="1">
      <c r="A33" s="3" t="str">
        <f>EQ!A108</f>
        <v>fa7805c1d46ef49851de43750a665a993eef750b560159967106d3b96821759c</v>
      </c>
      <c r="B33" s="3">
        <f t="array" ref="B33">XLOOKUP(A33, Notes!A:A, Notes!B:B, "")</f>
        <v>69.63</v>
      </c>
      <c r="C33" s="3" t="str">
        <f>IFERROR(IMAGE(VLOOKUP(A33,DriveImages!A:C,3,FALSE),4,240,520),"")</f>
        <v/>
      </c>
      <c r="D33" s="3" t="str">
        <f>IF($A33="","",IF(AND(N($G33)&lt;=Params!$D$2,N($H33)&lt;=Params!$E$2),"Peu actif",IF(AND(N($I33)&gt;=Params!$F$4,N($E33)&lt;=Params!$B$2,N($F33)&lt;=Params!$C$2),"Efficace",IF(AND(N($F33)&gt;=Params!$C$4,OR(N($I33)&lt;=Params!$F$3,N($E33)&gt;=Params!$B$4)),"Bloqué",IF(AND(OR(N($G33)&gt;=Params!$D$4,N($H33)&gt;=Params!$E$4),N($I33)&lt;=Params!$F$3),"Persévérant",IF(AND(N($J33)&gt;=Params!$G$4,OR(N($G33)&lt;=Params!$D$3,N($H33)&lt;=Params!$E$3)),"Sporadique","Intermédiaire"))))))</f>
        <v>Intermédiaire</v>
      </c>
      <c r="E33" s="6">
        <f t="array" ref="E33">XLOOKUP(A33, EQ!A:A, EQ!B:B, "")</f>
        <v>0.5</v>
      </c>
      <c r="F33" s="6">
        <f t="array" ref="F33">XLOOKUP(A33, RED!A:A, RED!B:B, "")</f>
        <v>0.34027778</v>
      </c>
      <c r="G33" s="3">
        <f t="shared" si="2"/>
        <v>17</v>
      </c>
      <c r="H33" s="3">
        <f t="shared" ref="H33:O33" si="33">XLOOKUP($A33, INDIRECT("'"&amp;H$1&amp;"'!A:A"), INDIRECT("'"&amp;H$1&amp;"'!B:B"), "")</f>
        <v>2</v>
      </c>
      <c r="I33" s="3">
        <f t="shared" si="33"/>
        <v>0.4117647059</v>
      </c>
      <c r="J33" s="3">
        <f t="shared" si="33"/>
        <v>0.0625</v>
      </c>
      <c r="K33" s="3">
        <f t="shared" si="33"/>
        <v>0.31181324</v>
      </c>
      <c r="L33" s="3">
        <f t="shared" si="33"/>
        <v>10.16666667</v>
      </c>
      <c r="M33" s="3">
        <f t="shared" si="33"/>
        <v>27.18333333</v>
      </c>
      <c r="N33" s="3">
        <f t="shared" si="33"/>
        <v>21.21666667</v>
      </c>
      <c r="O33" s="3">
        <f t="shared" si="33"/>
        <v>20.46666667</v>
      </c>
    </row>
    <row r="34" ht="112.5" customHeight="1">
      <c r="A34" s="3" t="str">
        <f>EQ!A3</f>
        <v>080e819b7f2ec7fdf5df10abc0092a6ae39db49584244ea555a9ce18c8d57c53</v>
      </c>
      <c r="B34" s="3">
        <f t="array" ref="B34">XLOOKUP(A34, Notes!A:A, Notes!B:B, "")</f>
        <v>56.19</v>
      </c>
      <c r="C34" s="3" t="str">
        <f>IFERROR(IMAGE(VLOOKUP(A34,DriveImages!A:C,3,FALSE),4,240,520),"")</f>
        <v/>
      </c>
      <c r="D34" s="3" t="str">
        <f>IF($A34="","",IF(AND(N($G34)&lt;=Params!$D$2,N($H34)&lt;=Params!$E$2),"Peu actif",IF(AND(N($I34)&gt;=Params!$F$4,N($E34)&lt;=Params!$B$2,N($F34)&lt;=Params!$C$2),"Efficace",IF(AND(N($F34)&gt;=Params!$C$4,OR(N($I34)&lt;=Params!$F$3,N($E34)&gt;=Params!$B$4)),"Bloqué",IF(AND(OR(N($G34)&gt;=Params!$D$4,N($H34)&gt;=Params!$E$4),N($I34)&lt;=Params!$F$3),"Persévérant",IF(AND(N($J34)&gt;=Params!$G$4,OR(N($G34)&lt;=Params!$D$3,N($H34)&lt;=Params!$E$3)),"Sporadique","Intermédiaire"))))))</f>
        <v>Peu actif</v>
      </c>
      <c r="E34" s="6">
        <f t="array" ref="E34">XLOOKUP(A34, EQ!A:A, EQ!B:B, "")</f>
        <v>0.75</v>
      </c>
      <c r="F34" s="6">
        <f t="array" ref="F34">XLOOKUP(A34, RED!A:A, RED!B:B, "")</f>
        <v>0.5625</v>
      </c>
      <c r="G34" s="3">
        <f t="shared" si="2"/>
        <v>5</v>
      </c>
      <c r="H34" s="3">
        <f t="shared" ref="H34:O34" si="34">XLOOKUP($A34, INDIRECT("'"&amp;H$1&amp;"'!A:A"), INDIRECT("'"&amp;H$1&amp;"'!B:B"), "")</f>
        <v>1</v>
      </c>
      <c r="I34" s="3">
        <f t="shared" si="34"/>
        <v>0.2</v>
      </c>
      <c r="J34" s="3">
        <f t="shared" si="34"/>
        <v>0</v>
      </c>
      <c r="K34" s="3">
        <f t="shared" si="34"/>
        <v>0.2</v>
      </c>
      <c r="L34" s="3">
        <f t="shared" si="34"/>
        <v>10.21666667</v>
      </c>
      <c r="M34" s="3">
        <f t="shared" si="34"/>
        <v>4.566666667</v>
      </c>
      <c r="N34" s="3">
        <f t="shared" si="34"/>
        <v>43.78333333</v>
      </c>
      <c r="O34" s="3">
        <f t="shared" si="34"/>
        <v>4.566666667</v>
      </c>
    </row>
    <row r="35" ht="112.5" customHeight="1">
      <c r="A35" s="3" t="str">
        <f>EQ!A102</f>
        <v>effa5fafd71a87510e477792561dc4c6a0d7a624d93f5ee78db77ac7c2a41d63</v>
      </c>
      <c r="B35" s="3">
        <f t="array" ref="B35">XLOOKUP(A35, Notes!A:A, Notes!B:B, "")</f>
        <v>63.66</v>
      </c>
      <c r="C35" s="3" t="str">
        <f>IFERROR(IMAGE(VLOOKUP(A35,DriveImages!A:C,3,FALSE),4,240,520),"")</f>
        <v/>
      </c>
      <c r="D35" s="3" t="str">
        <f>IF($A35="","",IF(AND(N($G35)&lt;=Params!$D$2,N($H35)&lt;=Params!$E$2),"Peu actif",IF(AND(N($I35)&gt;=Params!$F$4,N($E35)&lt;=Params!$B$2,N($F35)&lt;=Params!$C$2),"Efficace",IF(AND(N($F35)&gt;=Params!$C$4,OR(N($I35)&lt;=Params!$F$3,N($E35)&gt;=Params!$B$4)),"Bloqué",IF(AND(OR(N($G35)&gt;=Params!$D$4,N($H35)&gt;=Params!$E$4),N($I35)&lt;=Params!$F$3),"Persévérant",IF(AND(N($J35)&gt;=Params!$G$4,OR(N($G35)&lt;=Params!$D$3,N($H35)&lt;=Params!$E$3)),"Sporadique","Intermédiaire"))))))</f>
        <v>Intermédiaire</v>
      </c>
      <c r="E35" s="6">
        <f t="array" ref="E35">XLOOKUP(A35, EQ!A:A, EQ!B:B, "")</f>
        <v>0.2142857143</v>
      </c>
      <c r="F35" s="6">
        <f t="array" ref="F35">XLOOKUP(A35, RED!A:A, RED!B:B, "")</f>
        <v>0.16190476</v>
      </c>
      <c r="G35" s="3">
        <f t="shared" si="2"/>
        <v>33</v>
      </c>
      <c r="H35" s="3">
        <f t="shared" ref="H35:O35" si="35">XLOOKUP($A35, INDIRECT("'"&amp;H$1&amp;"'!A:A"), INDIRECT("'"&amp;H$1&amp;"'!B:B"), "")</f>
        <v>2</v>
      </c>
      <c r="I35" s="3">
        <f t="shared" si="35"/>
        <v>0.696969697</v>
      </c>
      <c r="J35" s="3">
        <f t="shared" si="35"/>
        <v>0.03125</v>
      </c>
      <c r="K35" s="3">
        <f t="shared" si="35"/>
        <v>0.55661003</v>
      </c>
      <c r="L35" s="3">
        <f t="shared" si="35"/>
        <v>10.25</v>
      </c>
      <c r="M35" s="3">
        <f t="shared" si="35"/>
        <v>41.56666667</v>
      </c>
      <c r="N35" s="3">
        <f t="shared" si="35"/>
        <v>6.75</v>
      </c>
      <c r="O35" s="3">
        <f t="shared" si="35"/>
        <v>0</v>
      </c>
    </row>
    <row r="36" ht="112.5" customHeight="1">
      <c r="A36" s="3" t="str">
        <f>EQ!A101</f>
        <v>eefcecf5c7183df8d369a35df238dd9fd990564264dcadc7bafacbafbef888ac</v>
      </c>
      <c r="B36" s="3">
        <f t="array" ref="B36">XLOOKUP(A36, Notes!A:A, Notes!B:B, "")</f>
        <v>39.81</v>
      </c>
      <c r="C36" s="3" t="str">
        <f>IFERROR(IMAGE(VLOOKUP(A36,DriveImages!A:C,3,FALSE),4,240,520),"")</f>
        <v/>
      </c>
      <c r="D36" s="3" t="str">
        <f>IF($A36="","",IF(AND(N($G36)&lt;=Params!$D$2,N($H36)&lt;=Params!$E$2),"Peu actif",IF(AND(N($I36)&gt;=Params!$F$4,N($E36)&lt;=Params!$B$2,N($F36)&lt;=Params!$C$2),"Efficace",IF(AND(N($F36)&gt;=Params!$C$4,OR(N($I36)&lt;=Params!$F$3,N($E36)&gt;=Params!$B$4)),"Bloqué",IF(AND(OR(N($G36)&gt;=Params!$D$4,N($H36)&gt;=Params!$E$4),N($I36)&lt;=Params!$F$3),"Persévérant",IF(AND(N($J36)&gt;=Params!$G$4,OR(N($G36)&lt;=Params!$D$3,N($H36)&lt;=Params!$E$3)),"Sporadique","Intermédiaire"))))))</f>
        <v>Bloqué</v>
      </c>
      <c r="E36" s="6">
        <f t="array" ref="E36">XLOOKUP(A36, EQ!A:A, EQ!B:B, "")</f>
        <v>1</v>
      </c>
      <c r="F36" s="6">
        <f t="array" ref="F36">XLOOKUP(A36, RED!A:A, RED!B:B, "")</f>
        <v>0.83333333</v>
      </c>
      <c r="G36" s="3">
        <f t="shared" si="2"/>
        <v>6</v>
      </c>
      <c r="H36" s="3">
        <f t="shared" ref="H36:O36" si="36">XLOOKUP($A36, INDIRECT("'"&amp;H$1&amp;"'!A:A"), INDIRECT("'"&amp;H$1&amp;"'!B:B"), "")</f>
        <v>1</v>
      </c>
      <c r="I36" s="3">
        <f t="shared" si="36"/>
        <v>0</v>
      </c>
      <c r="J36" s="3">
        <f t="shared" si="36"/>
        <v>0</v>
      </c>
      <c r="K36" s="3">
        <f t="shared" si="36"/>
        <v>0</v>
      </c>
      <c r="L36" s="3">
        <f t="shared" si="36"/>
        <v>10.41666667</v>
      </c>
      <c r="M36" s="3">
        <f t="shared" si="36"/>
        <v>4.183333333</v>
      </c>
      <c r="N36" s="3">
        <f t="shared" si="36"/>
        <v>43.96666667</v>
      </c>
      <c r="O36" s="3">
        <f t="shared" si="36"/>
        <v>60</v>
      </c>
    </row>
    <row r="37" ht="112.5" customHeight="1">
      <c r="A37" s="3" t="str">
        <f>EQ!A13</f>
        <v>23d73ca299f02110f10fe0b18902fd2ea5ad124d3a061f110083353b3899c369</v>
      </c>
      <c r="B37" s="3">
        <f t="array" ref="B37">XLOOKUP(A37, Notes!A:A, Notes!B:B, "")</f>
        <v>89.25</v>
      </c>
      <c r="C37" s="3" t="str">
        <f>IFERROR(IMAGE(VLOOKUP(A37,DriveImages!A:C,3,FALSE),4,240,520),"")</f>
        <v/>
      </c>
      <c r="D37" s="3" t="str">
        <f>IF($A37="","",IF(AND(N($G37)&lt;=Params!$D$2,N($H37)&lt;=Params!$E$2),"Peu actif",IF(AND(N($I37)&gt;=Params!$F$4,N($E37)&lt;=Params!$B$2,N($F37)&lt;=Params!$C$2),"Efficace",IF(AND(N($F37)&gt;=Params!$C$4,OR(N($I37)&lt;=Params!$F$3,N($E37)&gt;=Params!$B$4)),"Bloqué",IF(AND(OR(N($G37)&gt;=Params!$D$4,N($H37)&gt;=Params!$E$4),N($I37)&lt;=Params!$F$3),"Persévérant",IF(AND(N($J37)&gt;=Params!$G$4,OR(N($G37)&lt;=Params!$D$3,N($H37)&lt;=Params!$E$3)),"Sporadique","Intermédiaire"))))))</f>
        <v>Intermédiaire</v>
      </c>
      <c r="E37" s="6">
        <f t="array" ref="E37">XLOOKUP(A37, EQ!A:A, EQ!B:B, "")</f>
        <v>0.2857142857</v>
      </c>
      <c r="F37" s="6">
        <f t="array" ref="F37">XLOOKUP(A37, RED!A:A, RED!B:B, "")</f>
        <v>0.16666667</v>
      </c>
      <c r="G37" s="3">
        <f t="shared" si="2"/>
        <v>18</v>
      </c>
      <c r="H37" s="3">
        <f t="shared" ref="H37:O37" si="37">XLOOKUP($A37, INDIRECT("'"&amp;H$1&amp;"'!A:A"), INDIRECT("'"&amp;H$1&amp;"'!B:B"), "")</f>
        <v>3</v>
      </c>
      <c r="I37" s="3">
        <f t="shared" si="37"/>
        <v>0.5555555556</v>
      </c>
      <c r="J37" s="3">
        <f t="shared" si="37"/>
        <v>0.1176470588</v>
      </c>
      <c r="K37" s="3">
        <f t="shared" si="37"/>
        <v>0.41388889</v>
      </c>
      <c r="L37" s="3">
        <f t="shared" si="37"/>
        <v>10.55</v>
      </c>
      <c r="M37" s="3">
        <f t="shared" si="37"/>
        <v>35.93333333</v>
      </c>
      <c r="N37" s="3">
        <f t="shared" si="37"/>
        <v>12.08333333</v>
      </c>
      <c r="O37" s="3">
        <f t="shared" si="37"/>
        <v>0</v>
      </c>
    </row>
    <row r="38" ht="112.5" customHeight="1">
      <c r="A38" s="3" t="str">
        <f>EQ!A49</f>
        <v>753b3dfbf00b265816877af61db67c39ee3fae2b4e0a7b8f387b5163ff85b1bc</v>
      </c>
      <c r="B38" s="3">
        <f t="array" ref="B38">XLOOKUP(A38, Notes!A:A, Notes!B:B, "")</f>
        <v>53.44</v>
      </c>
      <c r="C38" s="3" t="str">
        <f>IFERROR(IMAGE(VLOOKUP(A38,DriveImages!A:C,3,FALSE),4,240,520),"")</f>
        <v/>
      </c>
      <c r="D38" s="3" t="str">
        <f>IF($A38="","",IF(AND(N($G38)&lt;=Params!$D$2,N($H38)&lt;=Params!$E$2),"Peu actif",IF(AND(N($I38)&gt;=Params!$F$4,N($E38)&lt;=Params!$B$2,N($F38)&lt;=Params!$C$2),"Efficace",IF(AND(N($F38)&gt;=Params!$C$4,OR(N($I38)&lt;=Params!$F$3,N($E38)&gt;=Params!$B$4)),"Bloqué",IF(AND(OR(N($G38)&gt;=Params!$D$4,N($H38)&gt;=Params!$E$4),N($I38)&lt;=Params!$F$3),"Persévérant",IF(AND(N($J38)&gt;=Params!$G$4,OR(N($G38)&lt;=Params!$D$3,N($H38)&lt;=Params!$E$3)),"Sporadique","Intermédiaire"))))))</f>
        <v>Sporadique</v>
      </c>
      <c r="E38" s="6">
        <f t="array" ref="E38">XLOOKUP(A38, EQ!A:A, EQ!B:B, "")</f>
        <v>0</v>
      </c>
      <c r="F38" s="6">
        <f t="array" ref="F38">XLOOKUP(A38, RED!A:A, RED!B:B, "")</f>
        <v>0</v>
      </c>
      <c r="G38" s="3">
        <f t="shared" si="2"/>
        <v>9</v>
      </c>
      <c r="H38" s="3">
        <f t="shared" ref="H38:O38" si="38">XLOOKUP($A38, INDIRECT("'"&amp;H$1&amp;"'!A:A"), INDIRECT("'"&amp;H$1&amp;"'!B:B"), "")</f>
        <v>4</v>
      </c>
      <c r="I38" s="3">
        <f t="shared" si="38"/>
        <v>0.6666666667</v>
      </c>
      <c r="J38" s="3">
        <f t="shared" si="38"/>
        <v>0.375</v>
      </c>
      <c r="K38" s="3">
        <f t="shared" si="38"/>
        <v>0.459596</v>
      </c>
      <c r="L38" s="3">
        <f t="shared" si="38"/>
        <v>10.63333333</v>
      </c>
      <c r="M38" s="3">
        <f t="shared" si="38"/>
        <v>41.05</v>
      </c>
      <c r="N38" s="3">
        <f t="shared" si="38"/>
        <v>6.883333333</v>
      </c>
      <c r="O38" s="3">
        <f t="shared" si="38"/>
        <v>1.766666667</v>
      </c>
    </row>
    <row r="39" ht="112.5" customHeight="1">
      <c r="A39" s="3" t="str">
        <f>EQ!A79</f>
        <v>bd7739509fa70c858197ea24926c2c696b797f60240eac8fe389b1d67ce663be</v>
      </c>
      <c r="B39" s="3">
        <f t="array" ref="B39">XLOOKUP(A39, Notes!A:A, Notes!B:B, "")</f>
        <v>61.66</v>
      </c>
      <c r="C39" s="3" t="str">
        <f>IFERROR(IMAGE(VLOOKUP(A39,DriveImages!A:C,3,FALSE),4,240,520),"")</f>
        <v/>
      </c>
      <c r="D39" s="3" t="str">
        <f>IF($A39="","",IF(AND(N($G39)&lt;=Params!$D$2,N($H39)&lt;=Params!$E$2),"Peu actif",IF(AND(N($I39)&gt;=Params!$F$4,N($E39)&lt;=Params!$B$2,N($F39)&lt;=Params!$C$2),"Efficace",IF(AND(N($F39)&gt;=Params!$C$4,OR(N($I39)&lt;=Params!$F$3,N($E39)&gt;=Params!$B$4)),"Bloqué",IF(AND(OR(N($G39)&gt;=Params!$D$4,N($H39)&gt;=Params!$E$4),N($I39)&lt;=Params!$F$3),"Persévérant",IF(AND(N($J39)&gt;=Params!$G$4,OR(N($G39)&lt;=Params!$D$3,N($H39)&lt;=Params!$E$3)),"Sporadique","Intermédiaire"))))))</f>
        <v>Bloqué</v>
      </c>
      <c r="E39" s="6">
        <f t="array" ref="E39">XLOOKUP(A39, EQ!A:A, EQ!B:B, "")</f>
        <v>0.8</v>
      </c>
      <c r="F39" s="6">
        <f t="array" ref="F39">XLOOKUP(A39, RED!A:A, RED!B:B, "")</f>
        <v>0.53333333</v>
      </c>
      <c r="G39" s="3">
        <f t="shared" si="2"/>
        <v>7</v>
      </c>
      <c r="H39" s="3">
        <f t="shared" ref="H39:O39" si="39">XLOOKUP($A39, INDIRECT("'"&amp;H$1&amp;"'!A:A"), INDIRECT("'"&amp;H$1&amp;"'!B:B"), "")</f>
        <v>1</v>
      </c>
      <c r="I39" s="3">
        <f t="shared" si="39"/>
        <v>0.1428571429</v>
      </c>
      <c r="J39" s="3">
        <f t="shared" si="39"/>
        <v>0</v>
      </c>
      <c r="K39" s="3">
        <f t="shared" si="39"/>
        <v>0.05142857</v>
      </c>
      <c r="L39" s="3">
        <f t="shared" si="39"/>
        <v>10.68333333</v>
      </c>
      <c r="M39" s="3">
        <f t="shared" si="39"/>
        <v>3.533333333</v>
      </c>
      <c r="N39" s="3">
        <f t="shared" si="39"/>
        <v>44.35</v>
      </c>
      <c r="O39" s="3">
        <f t="shared" si="39"/>
        <v>60</v>
      </c>
    </row>
    <row r="40" ht="112.5" customHeight="1">
      <c r="A40" s="3" t="str">
        <f>EQ!A89</f>
        <v>cf13a4b65841c7dceb8412708517c5be0cdedb328ac511655c4a95ee813d548b</v>
      </c>
      <c r="B40" s="3">
        <f t="array" ref="B40">XLOOKUP(A40, Notes!A:A, Notes!B:B, "")</f>
        <v>38.25</v>
      </c>
      <c r="C40" s="3" t="str">
        <f>IFERROR(IMAGE(VLOOKUP(A40,DriveImages!A:C,3,FALSE),4,240,520),"")</f>
        <v/>
      </c>
      <c r="D40" s="3" t="str">
        <f>IF($A40="","",IF(AND(N($G40)&lt;=Params!$D$2,N($H40)&lt;=Params!$E$2),"Peu actif",IF(AND(N($I40)&gt;=Params!$F$4,N($E40)&lt;=Params!$B$2,N($F40)&lt;=Params!$C$2),"Efficace",IF(AND(N($F40)&gt;=Params!$C$4,OR(N($I40)&lt;=Params!$F$3,N($E40)&gt;=Params!$B$4)),"Bloqué",IF(AND(OR(N($G40)&gt;=Params!$D$4,N($H40)&gt;=Params!$E$4),N($I40)&lt;=Params!$F$3),"Persévérant",IF(AND(N($J40)&gt;=Params!$G$4,OR(N($G40)&lt;=Params!$D$3,N($H40)&lt;=Params!$E$3)),"Sporadique","Intermédiaire"))))))</f>
        <v>Peu actif</v>
      </c>
      <c r="E40" s="6">
        <f t="array" ref="E40">XLOOKUP(A40, EQ!A:A, EQ!B:B, "")</f>
        <v>0.5</v>
      </c>
      <c r="F40" s="6">
        <f t="array" ref="F40">XLOOKUP(A40, RED!A:A, RED!B:B, "")</f>
        <v>0.33333333</v>
      </c>
      <c r="G40" s="3">
        <f t="shared" si="2"/>
        <v>5</v>
      </c>
      <c r="H40" s="3">
        <f t="shared" ref="H40:O40" si="40">XLOOKUP($A40, INDIRECT("'"&amp;H$1&amp;"'!A:A"), INDIRECT("'"&amp;H$1&amp;"'!B:B"), "")</f>
        <v>1</v>
      </c>
      <c r="I40" s="3">
        <f t="shared" si="40"/>
        <v>0.4</v>
      </c>
      <c r="J40" s="3">
        <f t="shared" si="40"/>
        <v>0</v>
      </c>
      <c r="K40" s="3">
        <f t="shared" si="40"/>
        <v>0.4</v>
      </c>
      <c r="L40" s="3">
        <f t="shared" si="40"/>
        <v>10.9</v>
      </c>
      <c r="M40" s="3">
        <f t="shared" si="40"/>
        <v>1.566666667</v>
      </c>
      <c r="N40" s="3">
        <f t="shared" si="40"/>
        <v>46.1</v>
      </c>
      <c r="O40" s="3">
        <f t="shared" si="40"/>
        <v>1.533333333</v>
      </c>
    </row>
    <row r="41" ht="112.5" customHeight="1">
      <c r="A41" s="3" t="str">
        <f>EQ!A34</f>
        <v>53b87d41de61b0eb5ef6562222f1f3bcd5b5ce1da053e57f47b6ed23d7aa8502</v>
      </c>
      <c r="B41" s="3">
        <f t="array" ref="B41">XLOOKUP(A41, Notes!A:A, Notes!B:B, "")</f>
        <v>47.66</v>
      </c>
      <c r="C41" s="3" t="str">
        <f>IFERROR(IMAGE(VLOOKUP(A41,DriveImages!A:C,3,FALSE),4,240,520),"")</f>
        <v/>
      </c>
      <c r="D41" s="3" t="str">
        <f>IF($A41="","",IF(AND(N($G41)&lt;=Params!$D$2,N($H41)&lt;=Params!$E$2),"Peu actif",IF(AND(N($I41)&gt;=Params!$F$4,N($E41)&lt;=Params!$B$2,N($F41)&lt;=Params!$C$2),"Efficace",IF(AND(N($F41)&gt;=Params!$C$4,OR(N($I41)&lt;=Params!$F$3,N($E41)&gt;=Params!$B$4)),"Bloqué",IF(AND(OR(N($G41)&gt;=Params!$D$4,N($H41)&gt;=Params!$E$4),N($I41)&lt;=Params!$F$3),"Persévérant",IF(AND(N($J41)&gt;=Params!$G$4,OR(N($G41)&lt;=Params!$D$3,N($H41)&lt;=Params!$E$3)),"Sporadique","Intermédiaire"))))))</f>
        <v>Persévérant</v>
      </c>
      <c r="E41" s="6">
        <f t="array" ref="E41">XLOOKUP(A41, EQ!A:A, EQ!B:B, "")</f>
        <v>0.58</v>
      </c>
      <c r="F41" s="6">
        <f t="array" ref="F41">XLOOKUP(A41, RED!A:A, RED!B:B, "")</f>
        <v>0.51855263</v>
      </c>
      <c r="G41" s="3">
        <f t="shared" si="2"/>
        <v>60</v>
      </c>
      <c r="H41" s="3">
        <f t="shared" ref="H41:O41" si="41">XLOOKUP($A41, INDIRECT("'"&amp;H$1&amp;"'!A:A"), INDIRECT("'"&amp;H$1&amp;"'!B:B"), "")</f>
        <v>2</v>
      </c>
      <c r="I41" s="3">
        <f t="shared" si="41"/>
        <v>0.4333333333</v>
      </c>
      <c r="J41" s="3">
        <f t="shared" si="41"/>
        <v>0.01694915254</v>
      </c>
      <c r="K41" s="3">
        <f t="shared" si="41"/>
        <v>0.41845237</v>
      </c>
      <c r="L41" s="3">
        <f t="shared" si="41"/>
        <v>11.05</v>
      </c>
      <c r="M41" s="3">
        <f t="shared" si="41"/>
        <v>40.33333333</v>
      </c>
      <c r="N41" s="3">
        <f t="shared" si="41"/>
        <v>7.183333333</v>
      </c>
      <c r="O41" s="3">
        <f t="shared" si="41"/>
        <v>0.7333333333</v>
      </c>
    </row>
    <row r="42" ht="112.5" customHeight="1">
      <c r="A42" s="3" t="str">
        <f>EQ!A90</f>
        <v>d24b87329bb09b449a89676a4e96858c289cdfad521c03fb9ce166a83aceb603</v>
      </c>
      <c r="B42" s="3">
        <f t="array" ref="B42">XLOOKUP(A42, Notes!A:A, Notes!B:B, "")</f>
        <v>63.22</v>
      </c>
      <c r="C42" s="3" t="str">
        <f>IFERROR(IMAGE(VLOOKUP(A42,DriveImages!A:C,3,FALSE),4,240,520),"")</f>
        <v/>
      </c>
      <c r="D42" s="3" t="str">
        <f>IF($A42="","",IF(AND(N($G42)&lt;=Params!$D$2,N($H42)&lt;=Params!$E$2),"Peu actif",IF(AND(N($I42)&gt;=Params!$F$4,N($E42)&lt;=Params!$B$2,N($F42)&lt;=Params!$C$2),"Efficace",IF(AND(N($F42)&gt;=Params!$C$4,OR(N($I42)&lt;=Params!$F$3,N($E42)&gt;=Params!$B$4)),"Bloqué",IF(AND(OR(N($G42)&gt;=Params!$D$4,N($H42)&gt;=Params!$E$4),N($I42)&lt;=Params!$F$3),"Persévérant",IF(AND(N($J42)&gt;=Params!$G$4,OR(N($G42)&lt;=Params!$D$3,N($H42)&lt;=Params!$E$3)),"Sporadique","Intermédiaire"))))))</f>
        <v>Sporadique</v>
      </c>
      <c r="E42" s="6">
        <f t="array" ref="E42">XLOOKUP(A42, EQ!A:A, EQ!B:B, "")</f>
        <v>0.5</v>
      </c>
      <c r="F42" s="6">
        <f t="array" ref="F42">XLOOKUP(A42, RED!A:A, RED!B:B, "")</f>
        <v>0.25</v>
      </c>
      <c r="G42" s="3">
        <f t="shared" si="2"/>
        <v>5</v>
      </c>
      <c r="H42" s="3">
        <f t="shared" ref="H42:O42" si="42">XLOOKUP($A42, INDIRECT("'"&amp;H$1&amp;"'!A:A"), INDIRECT("'"&amp;H$1&amp;"'!B:B"), "")</f>
        <v>2</v>
      </c>
      <c r="I42" s="3">
        <f t="shared" si="42"/>
        <v>0.2</v>
      </c>
      <c r="J42" s="3">
        <f t="shared" si="42"/>
        <v>0.25</v>
      </c>
      <c r="K42" s="3">
        <f t="shared" si="42"/>
        <v>0.2</v>
      </c>
      <c r="L42" s="3">
        <f t="shared" si="42"/>
        <v>11.21666667</v>
      </c>
      <c r="M42" s="3">
        <f t="shared" si="42"/>
        <v>11.4</v>
      </c>
      <c r="N42" s="3">
        <f t="shared" si="42"/>
        <v>35.95</v>
      </c>
      <c r="O42" s="3">
        <f t="shared" si="42"/>
        <v>1</v>
      </c>
    </row>
    <row r="43" ht="112.5" customHeight="1">
      <c r="A43" s="3" t="str">
        <f>EQ!A5</f>
        <v>0973288c77f97c9245c444f90526bc6137bc40b48200197fd5bb6134f618f165</v>
      </c>
      <c r="B43" s="3">
        <f t="array" ref="B43">XLOOKUP(A43, Notes!A:A, Notes!B:B, "")</f>
        <v>49.89</v>
      </c>
      <c r="C43" s="3" t="str">
        <f>IFERROR(IMAGE(VLOOKUP(A43,DriveImages!A:C,3,FALSE),4,240,520),"")</f>
        <v/>
      </c>
      <c r="D43" s="3" t="str">
        <f>IF($A43="","",IF(AND(N($G43)&lt;=Params!$D$2,N($H43)&lt;=Params!$E$2),"Peu actif",IF(AND(N($I43)&gt;=Params!$F$4,N($E43)&lt;=Params!$B$2,N($F43)&lt;=Params!$C$2),"Efficace",IF(AND(N($F43)&gt;=Params!$C$4,OR(N($I43)&lt;=Params!$F$3,N($E43)&gt;=Params!$B$4)),"Bloqué",IF(AND(OR(N($G43)&gt;=Params!$D$4,N($H43)&gt;=Params!$E$4),N($I43)&lt;=Params!$F$3),"Persévérant",IF(AND(N($J43)&gt;=Params!$G$4,OR(N($G43)&lt;=Params!$D$3,N($H43)&lt;=Params!$E$3)),"Sporadique","Intermédiaire"))))))</f>
        <v>Efficace</v>
      </c>
      <c r="E43" s="6">
        <f t="array" ref="E43">XLOOKUP(A43, EQ!A:A, EQ!B:B, "")</f>
        <v>0.125</v>
      </c>
      <c r="F43" s="6">
        <f t="array" ref="F43">XLOOKUP(A43, RED!A:A, RED!B:B, "")</f>
        <v>0.0625</v>
      </c>
      <c r="G43" s="3">
        <f t="shared" si="2"/>
        <v>16</v>
      </c>
      <c r="H43" s="3">
        <f t="shared" ref="H43:O43" si="43">XLOOKUP($A43, INDIRECT("'"&amp;H$1&amp;"'!A:A"), INDIRECT("'"&amp;H$1&amp;"'!B:B"), "")</f>
        <v>1</v>
      </c>
      <c r="I43" s="3">
        <f t="shared" si="43"/>
        <v>0.8125</v>
      </c>
      <c r="J43" s="3">
        <f t="shared" si="43"/>
        <v>0</v>
      </c>
      <c r="K43" s="3">
        <f t="shared" si="43"/>
        <v>0.74572175</v>
      </c>
      <c r="L43" s="3">
        <f t="shared" si="43"/>
        <v>11.3</v>
      </c>
      <c r="M43" s="3">
        <f t="shared" si="43"/>
        <v>27.18333333</v>
      </c>
      <c r="N43" s="3">
        <f t="shared" si="43"/>
        <v>20.08333333</v>
      </c>
      <c r="O43" s="3">
        <f t="shared" si="43"/>
        <v>3.133333333</v>
      </c>
    </row>
    <row r="44" ht="112.5" customHeight="1">
      <c r="A44" s="3" t="str">
        <f>EQ!A61</f>
        <v>9181e670a018653889d5263448f199379588274b90c51348445093423b56396b</v>
      </c>
      <c r="B44" s="3">
        <f t="array" ref="B44">XLOOKUP(A44, Notes!A:A, Notes!B:B, "")</f>
        <v>62.16</v>
      </c>
      <c r="C44" s="3" t="str">
        <f>IFERROR(IMAGE(VLOOKUP(A44,DriveImages!A:C,3,FALSE),4,240,520),"")</f>
        <v/>
      </c>
      <c r="D44" s="3" t="str">
        <f>IF($A44="","",IF(AND(N($G44)&lt;=Params!$D$2,N($H44)&lt;=Params!$E$2),"Peu actif",IF(AND(N($I44)&gt;=Params!$F$4,N($E44)&lt;=Params!$B$2,N($F44)&lt;=Params!$C$2),"Efficace",IF(AND(N($F44)&gt;=Params!$C$4,OR(N($I44)&lt;=Params!$F$3,N($E44)&gt;=Params!$B$4)),"Bloqué",IF(AND(OR(N($G44)&gt;=Params!$D$4,N($H44)&gt;=Params!$E$4),N($I44)&lt;=Params!$F$3),"Persévérant",IF(AND(N($J44)&gt;=Params!$G$4,OR(N($G44)&lt;=Params!$D$3,N($H44)&lt;=Params!$E$3)),"Sporadique","Intermédiaire"))))))</f>
        <v>Intermédiaire</v>
      </c>
      <c r="E44" s="6">
        <f t="array" ref="E44">XLOOKUP(A44, EQ!A:A, EQ!B:B, "")</f>
        <v>0.2083333333</v>
      </c>
      <c r="F44" s="6">
        <f t="array" ref="F44">XLOOKUP(A44, RED!A:A, RED!B:B, "")</f>
        <v>0.13541667</v>
      </c>
      <c r="G44" s="3">
        <f t="shared" si="2"/>
        <v>31</v>
      </c>
      <c r="H44" s="3">
        <f t="shared" ref="H44:O44" si="44">XLOOKUP($A44, INDIRECT("'"&amp;H$1&amp;"'!A:A"), INDIRECT("'"&amp;H$1&amp;"'!B:B"), "")</f>
        <v>1</v>
      </c>
      <c r="I44" s="3">
        <f t="shared" si="44"/>
        <v>0.6129032258</v>
      </c>
      <c r="J44" s="3">
        <f t="shared" si="44"/>
        <v>0</v>
      </c>
      <c r="K44" s="3">
        <f t="shared" si="44"/>
        <v>0.50194326</v>
      </c>
      <c r="L44" s="3">
        <f t="shared" si="44"/>
        <v>11.48333333</v>
      </c>
      <c r="M44" s="3">
        <f t="shared" si="44"/>
        <v>39.93333333</v>
      </c>
      <c r="N44" s="3">
        <f t="shared" si="44"/>
        <v>7.15</v>
      </c>
      <c r="O44" s="3">
        <f t="shared" si="44"/>
        <v>7.533333333</v>
      </c>
    </row>
    <row r="45" ht="112.5" customHeight="1">
      <c r="A45" s="3" t="str">
        <f>EQ!A7</f>
        <v>0ff8e00eabc873cbfaa0832c3aa0e4a4b03e6f72593a71ecf7e5b2e4d0c82e06</v>
      </c>
      <c r="B45" s="3">
        <f t="array" ref="B45">XLOOKUP(A45, Notes!A:A, Notes!B:B, "")</f>
        <v>83.25</v>
      </c>
      <c r="C45" s="3" t="str">
        <f>IFERROR(IMAGE(VLOOKUP(A45,DriveImages!A:C,3,FALSE),4,240,520),"")</f>
        <v/>
      </c>
      <c r="D45" s="3" t="str">
        <f>IF($A45="","",IF(AND(N($G45)&lt;=Params!$D$2,N($H45)&lt;=Params!$E$2),"Peu actif",IF(AND(N($I45)&gt;=Params!$F$4,N($E45)&lt;=Params!$B$2,N($F45)&lt;=Params!$C$2),"Efficace",IF(AND(N($F45)&gt;=Params!$C$4,OR(N($I45)&lt;=Params!$F$3,N($E45)&gt;=Params!$B$4)),"Bloqué",IF(AND(OR(N($G45)&gt;=Params!$D$4,N($H45)&gt;=Params!$E$4),N($I45)&lt;=Params!$F$3),"Persévérant",IF(AND(N($J45)&gt;=Params!$G$4,OR(N($G45)&lt;=Params!$D$3,N($H45)&lt;=Params!$E$3)),"Sporadique","Intermédiaire"))))))</f>
        <v>Efficace</v>
      </c>
      <c r="E45" s="6">
        <f t="array" ref="E45">XLOOKUP(A45, EQ!A:A, EQ!B:B, "")</f>
        <v>0</v>
      </c>
      <c r="F45" s="6">
        <f t="array" ref="F45">XLOOKUP(A45, RED!A:A, RED!B:B, "")</f>
        <v>0</v>
      </c>
      <c r="G45" s="3">
        <f t="shared" si="2"/>
        <v>15</v>
      </c>
      <c r="H45" s="3">
        <f t="shared" ref="H45:O45" si="45">XLOOKUP($A45, INDIRECT("'"&amp;H$1&amp;"'!A:A"), INDIRECT("'"&amp;H$1&amp;"'!B:B"), "")</f>
        <v>1</v>
      </c>
      <c r="I45" s="3">
        <f t="shared" si="45"/>
        <v>0.8666666667</v>
      </c>
      <c r="J45" s="3">
        <f t="shared" si="45"/>
        <v>0</v>
      </c>
      <c r="K45" s="3">
        <f t="shared" si="45"/>
        <v>0.82559527</v>
      </c>
      <c r="L45" s="3">
        <f t="shared" si="45"/>
        <v>11.51666667</v>
      </c>
      <c r="M45" s="3">
        <f t="shared" si="45"/>
        <v>24.6</v>
      </c>
      <c r="N45" s="3">
        <f t="shared" si="45"/>
        <v>22.45</v>
      </c>
      <c r="O45" s="3">
        <f t="shared" si="45"/>
        <v>0.3833333333</v>
      </c>
    </row>
    <row r="46" ht="112.5" customHeight="1">
      <c r="A46" s="3" t="str">
        <f>EQ!A111</f>
        <v>fe48d6db483ac4bd61b017d826272e803a5ba40fca9dcc14ce181a1331e1fa18</v>
      </c>
      <c r="B46" s="3">
        <f t="array" ref="B46">XLOOKUP(A46, Notes!A:A, Notes!B:B, "")</f>
        <v>35.25</v>
      </c>
      <c r="C46" s="3" t="str">
        <f>IFERROR(IMAGE(VLOOKUP(A46,DriveImages!A:C,3,FALSE),4,240,520),"")</f>
        <v/>
      </c>
      <c r="D46" s="3" t="str">
        <f>IF($A46="","",IF(AND(N($G46)&lt;=Params!$D$2,N($H46)&lt;=Params!$E$2),"Peu actif",IF(AND(N($I46)&gt;=Params!$F$4,N($E46)&lt;=Params!$B$2,N($F46)&lt;=Params!$C$2),"Efficace",IF(AND(N($F46)&gt;=Params!$C$4,OR(N($I46)&lt;=Params!$F$3,N($E46)&gt;=Params!$B$4)),"Bloqué",IF(AND(OR(N($G46)&gt;=Params!$D$4,N($H46)&gt;=Params!$E$4),N($I46)&lt;=Params!$F$3),"Persévérant",IF(AND(N($J46)&gt;=Params!$G$4,OR(N($G46)&lt;=Params!$D$3,N($H46)&lt;=Params!$E$3)),"Sporadique","Intermédiaire"))))))</f>
        <v>Bloqué</v>
      </c>
      <c r="E46" s="6">
        <f t="array" ref="E46">XLOOKUP(A46, EQ!A:A, EQ!B:B, "")</f>
        <v>0.8333333333</v>
      </c>
      <c r="F46" s="6">
        <f t="array" ref="F46">XLOOKUP(A46, RED!A:A, RED!B:B, "")</f>
        <v>0.69444444</v>
      </c>
      <c r="G46" s="3">
        <f t="shared" si="2"/>
        <v>7</v>
      </c>
      <c r="H46" s="3">
        <f t="shared" ref="H46:O46" si="46">XLOOKUP($A46, INDIRECT("'"&amp;H$1&amp;"'!A:A"), INDIRECT("'"&amp;H$1&amp;"'!B:B"), "")</f>
        <v>1</v>
      </c>
      <c r="I46" s="3">
        <f t="shared" si="46"/>
        <v>0.1428571429</v>
      </c>
      <c r="J46" s="3">
        <f t="shared" si="46"/>
        <v>0</v>
      </c>
      <c r="K46" s="3">
        <f t="shared" si="46"/>
        <v>0.10204086</v>
      </c>
      <c r="L46" s="3">
        <f t="shared" si="46"/>
        <v>11.56666667</v>
      </c>
      <c r="M46" s="3">
        <f t="shared" si="46"/>
        <v>6.333333333</v>
      </c>
      <c r="N46" s="3">
        <f t="shared" si="46"/>
        <v>40.66666667</v>
      </c>
      <c r="O46" s="3">
        <f t="shared" si="46"/>
        <v>60</v>
      </c>
    </row>
    <row r="47" ht="112.5" customHeight="1">
      <c r="A47" s="3" t="str">
        <f>EQ!A84</f>
        <v>c8d01afd1e4a742fb48896441f92f6f4f1c21f02b0059b58f21e1c6efb099eb2</v>
      </c>
      <c r="B47" s="3">
        <f t="array" ref="B47">XLOOKUP(A47, Notes!A:A, Notes!B:B, "")</f>
        <v>89.48</v>
      </c>
      <c r="C47" s="3" t="str">
        <f>IFERROR(IMAGE(VLOOKUP(A47,DriveImages!A:C,3,FALSE),4,240,520),"")</f>
        <v/>
      </c>
      <c r="D47" s="3" t="str">
        <f>IF($A47="","",IF(AND(N($G47)&lt;=Params!$D$2,N($H47)&lt;=Params!$E$2),"Peu actif",IF(AND(N($I47)&gt;=Params!$F$4,N($E47)&lt;=Params!$B$2,N($F47)&lt;=Params!$C$2),"Efficace",IF(AND(N($F47)&gt;=Params!$C$4,OR(N($I47)&lt;=Params!$F$3,N($E47)&gt;=Params!$B$4)),"Bloqué",IF(AND(OR(N($G47)&gt;=Params!$D$4,N($H47)&gt;=Params!$E$4),N($I47)&lt;=Params!$F$3),"Persévérant",IF(AND(N($J47)&gt;=Params!$G$4,OR(N($G47)&lt;=Params!$D$3,N($H47)&lt;=Params!$E$3)),"Sporadique","Intermédiaire"))))))</f>
        <v>Persévérant</v>
      </c>
      <c r="E47" s="6">
        <f t="array" ref="E47">XLOOKUP(A47, EQ!A:A, EQ!B:B, "")</f>
        <v>0.3846153846</v>
      </c>
      <c r="F47" s="6">
        <f t="array" ref="F47">XLOOKUP(A47, RED!A:A, RED!B:B, "")</f>
        <v>0.29326923</v>
      </c>
      <c r="G47" s="3">
        <f t="shared" si="2"/>
        <v>30</v>
      </c>
      <c r="H47" s="3">
        <f t="shared" ref="H47:O47" si="47">XLOOKUP($A47, INDIRECT("'"&amp;H$1&amp;"'!A:A"), INDIRECT("'"&amp;H$1&amp;"'!B:B"), "")</f>
        <v>3</v>
      </c>
      <c r="I47" s="3">
        <f t="shared" si="47"/>
        <v>0.4</v>
      </c>
      <c r="J47" s="3">
        <f t="shared" si="47"/>
        <v>0.06896551724</v>
      </c>
      <c r="K47" s="3">
        <f t="shared" si="47"/>
        <v>0.27229007</v>
      </c>
      <c r="L47" s="3">
        <f t="shared" si="47"/>
        <v>11.6</v>
      </c>
      <c r="M47" s="3">
        <f t="shared" si="47"/>
        <v>40.05</v>
      </c>
      <c r="N47" s="3">
        <f t="shared" si="47"/>
        <v>6.916666667</v>
      </c>
      <c r="O47" s="3">
        <f t="shared" si="47"/>
        <v>1.483333333</v>
      </c>
    </row>
    <row r="48" ht="112.5" customHeight="1">
      <c r="A48" s="3" t="str">
        <f>EQ!A91</f>
        <v>d3f0d126711eb978e948a2cbeb9c2b2b0ffa79541fe717c41575d91f5e21aa61</v>
      </c>
      <c r="B48" s="3">
        <f t="array" ref="B48">XLOOKUP(A48, Notes!A:A, Notes!B:B, "")</f>
        <v>82.96</v>
      </c>
      <c r="C48" s="3" t="str">
        <f>IFERROR(IMAGE(VLOOKUP(A48,DriveImages!A:C,3,FALSE),4,240,520),"")</f>
        <v/>
      </c>
      <c r="D48" s="3" t="str">
        <f>IF($A48="","",IF(AND(N($G48)&lt;=Params!$D$2,N($H48)&lt;=Params!$E$2),"Peu actif",IF(AND(N($I48)&gt;=Params!$F$4,N($E48)&lt;=Params!$B$2,N($F48)&lt;=Params!$C$2),"Efficace",IF(AND(N($F48)&gt;=Params!$C$4,OR(N($I48)&lt;=Params!$F$3,N($E48)&gt;=Params!$B$4)),"Bloqué",IF(AND(OR(N($G48)&gt;=Params!$D$4,N($H48)&gt;=Params!$E$4),N($I48)&lt;=Params!$F$3),"Persévérant",IF(AND(N($J48)&gt;=Params!$G$4,OR(N($G48)&lt;=Params!$D$3,N($H48)&lt;=Params!$E$3)),"Sporadique","Intermédiaire"))))))</f>
        <v>Efficace</v>
      </c>
      <c r="E48" s="6">
        <f t="array" ref="E48">XLOOKUP(A48, EQ!A:A, EQ!B:B, "")</f>
        <v>0</v>
      </c>
      <c r="F48" s="6">
        <f t="array" ref="F48">XLOOKUP(A48, RED!A:A, RED!B:B, "")</f>
        <v>0</v>
      </c>
      <c r="G48" s="3">
        <f t="shared" si="2"/>
        <v>18</v>
      </c>
      <c r="H48" s="3">
        <f t="shared" ref="H48:O48" si="48">XLOOKUP($A48, INDIRECT("'"&amp;H$1&amp;"'!A:A"), INDIRECT("'"&amp;H$1&amp;"'!B:B"), "")</f>
        <v>3</v>
      </c>
      <c r="I48" s="3">
        <f t="shared" si="48"/>
        <v>0.8888888889</v>
      </c>
      <c r="J48" s="3">
        <f t="shared" si="48"/>
        <v>0.1176470588</v>
      </c>
      <c r="K48" s="3">
        <f t="shared" si="48"/>
        <v>0.79307572</v>
      </c>
      <c r="L48" s="3">
        <f t="shared" si="48"/>
        <v>11.8</v>
      </c>
      <c r="M48" s="3">
        <f t="shared" si="48"/>
        <v>30.65</v>
      </c>
      <c r="N48" s="3">
        <f t="shared" si="48"/>
        <v>16.11666667</v>
      </c>
      <c r="O48" s="3">
        <f t="shared" si="48"/>
        <v>0.4666666667</v>
      </c>
    </row>
    <row r="49" ht="112.5" customHeight="1">
      <c r="A49" s="3" t="str">
        <f>EQ!A106</f>
        <v>f8461dec16e4e6cc62d1cadd424373bdf634bdc01764d3df74cd9fff9658baff</v>
      </c>
      <c r="B49" s="3">
        <f t="array" ref="B49">XLOOKUP(A49, Notes!A:A, Notes!B:B, "")</f>
        <v>0</v>
      </c>
      <c r="C49" s="3" t="str">
        <f>IFERROR(IMAGE(VLOOKUP(A49,DriveImages!A:C,3,FALSE),4,240,520),"")</f>
        <v/>
      </c>
      <c r="D49" s="3" t="str">
        <f>IF($A49="","",IF(AND(N($G49)&lt;=Params!$D$2,N($H49)&lt;=Params!$E$2),"Peu actif",IF(AND(N($I49)&gt;=Params!$F$4,N($E49)&lt;=Params!$B$2,N($F49)&lt;=Params!$C$2),"Efficace",IF(AND(N($F49)&gt;=Params!$C$4,OR(N($I49)&lt;=Params!$F$3,N($E49)&gt;=Params!$B$4)),"Bloqué",IF(AND(OR(N($G49)&gt;=Params!$D$4,N($H49)&gt;=Params!$E$4),N($I49)&lt;=Params!$F$3),"Persévérant",IF(AND(N($J49)&gt;=Params!$G$4,OR(N($G49)&lt;=Params!$D$3,N($H49)&lt;=Params!$E$3)),"Sporadique","Intermédiaire"))))))</f>
        <v>Persévérant</v>
      </c>
      <c r="E49" s="6">
        <f t="array" ref="E49">XLOOKUP(A49, EQ!A:A, EQ!B:B, "")</f>
        <v>0.6363636364</v>
      </c>
      <c r="F49" s="6">
        <f t="array" ref="F49">XLOOKUP(A49, RED!A:A, RED!B:B, "")</f>
        <v>0.5004329</v>
      </c>
      <c r="G49" s="3">
        <f t="shared" si="2"/>
        <v>29</v>
      </c>
      <c r="H49" s="3">
        <f t="shared" ref="H49:O49" si="49">XLOOKUP($A49, INDIRECT("'"&amp;H$1&amp;"'!A:A"), INDIRECT("'"&amp;H$1&amp;"'!B:B"), "")</f>
        <v>1</v>
      </c>
      <c r="I49" s="3">
        <f t="shared" si="49"/>
        <v>0.3448275862</v>
      </c>
      <c r="J49" s="3">
        <f t="shared" si="49"/>
        <v>0</v>
      </c>
      <c r="K49" s="3">
        <f t="shared" si="49"/>
        <v>0.2942279</v>
      </c>
      <c r="L49" s="3">
        <f t="shared" si="49"/>
        <v>11.95</v>
      </c>
      <c r="M49" s="3">
        <f t="shared" si="49"/>
        <v>40.36666667</v>
      </c>
      <c r="N49" s="3">
        <f t="shared" si="49"/>
        <v>6.25</v>
      </c>
      <c r="O49" s="3">
        <f t="shared" si="49"/>
        <v>1.35</v>
      </c>
    </row>
    <row r="50" ht="112.5" customHeight="1">
      <c r="A50" s="3" t="str">
        <f>EQ!A29</f>
        <v>4557b3c2bc31d36048e3c48befc7212d35b7d0d885d3d1f102c9060238b5090a</v>
      </c>
      <c r="B50" s="3">
        <f t="array" ref="B50">XLOOKUP(A50, Notes!A:A, Notes!B:B, "")</f>
        <v>55.11</v>
      </c>
      <c r="C50" s="3" t="str">
        <f>IFERROR(IMAGE(VLOOKUP(A50,DriveImages!A:C,3,FALSE),4,240,520),"")</f>
        <v/>
      </c>
      <c r="D50" s="3" t="str">
        <f>IF($A50="","",IF(AND(N($G50)&lt;=Params!$D$2,N($H50)&lt;=Params!$E$2),"Peu actif",IF(AND(N($I50)&gt;=Params!$F$4,N($E50)&lt;=Params!$B$2,N($F50)&lt;=Params!$C$2),"Efficace",IF(AND(N($F50)&gt;=Params!$C$4,OR(N($I50)&lt;=Params!$F$3,N($E50)&gt;=Params!$B$4)),"Bloqué",IF(AND(OR(N($G50)&gt;=Params!$D$4,N($H50)&gt;=Params!$E$4),N($I50)&lt;=Params!$F$3),"Persévérant",IF(AND(N($J50)&gt;=Params!$G$4,OR(N($G50)&lt;=Params!$D$3,N($H50)&lt;=Params!$E$3)),"Sporadique","Intermédiaire"))))))</f>
        <v>Bloqué</v>
      </c>
      <c r="E50" s="6">
        <f t="array" ref="E50">XLOOKUP(A50, EQ!A:A, EQ!B:B, "")</f>
        <v>0.6923076923</v>
      </c>
      <c r="F50" s="6">
        <f t="array" ref="F50">XLOOKUP(A50, RED!A:A, RED!B:B, "")</f>
        <v>0.58547009</v>
      </c>
      <c r="G50" s="3">
        <f t="shared" si="2"/>
        <v>15</v>
      </c>
      <c r="H50" s="3">
        <f t="shared" ref="H50:O50" si="50">XLOOKUP($A50, INDIRECT("'"&amp;H$1&amp;"'!A:A"), INDIRECT("'"&amp;H$1&amp;"'!B:B"), "")</f>
        <v>2</v>
      </c>
      <c r="I50" s="3">
        <f t="shared" si="50"/>
        <v>0.2666666667</v>
      </c>
      <c r="J50" s="3">
        <f t="shared" si="50"/>
        <v>0.07142857143</v>
      </c>
      <c r="K50" s="3">
        <f t="shared" si="50"/>
        <v>0.22028987</v>
      </c>
      <c r="L50" s="3">
        <f t="shared" si="50"/>
        <v>12.05</v>
      </c>
      <c r="M50" s="3">
        <f t="shared" si="50"/>
        <v>26.61666667</v>
      </c>
      <c r="N50" s="3">
        <f t="shared" si="50"/>
        <v>19.9</v>
      </c>
      <c r="O50" s="3">
        <f t="shared" si="50"/>
        <v>7.1</v>
      </c>
    </row>
    <row r="51" ht="112.5" customHeight="1">
      <c r="A51" s="3" t="str">
        <f>EQ!A19</f>
        <v>33d11b837cec96010145671e6661210fd68f3004627f8929038256ca7a8d8ebf</v>
      </c>
      <c r="B51" s="3">
        <f t="array" ref="B51">XLOOKUP(A51, Notes!A:A, Notes!B:B, "")</f>
        <v>84.65</v>
      </c>
      <c r="C51" s="3" t="str">
        <f>IFERROR(IMAGE(VLOOKUP(A51,DriveImages!A:C,3,FALSE),4,240,520),"")</f>
        <v/>
      </c>
      <c r="D51" s="3" t="str">
        <f>IF($A51="","",IF(AND(N($G51)&lt;=Params!$D$2,N($H51)&lt;=Params!$E$2),"Peu actif",IF(AND(N($I51)&gt;=Params!$F$4,N($E51)&lt;=Params!$B$2,N($F51)&lt;=Params!$C$2),"Efficace",IF(AND(N($F51)&gt;=Params!$C$4,OR(N($I51)&lt;=Params!$F$3,N($E51)&gt;=Params!$B$4)),"Bloqué",IF(AND(OR(N($G51)&gt;=Params!$D$4,N($H51)&gt;=Params!$E$4),N($I51)&lt;=Params!$F$3),"Persévérant",IF(AND(N($J51)&gt;=Params!$G$4,OR(N($G51)&lt;=Params!$D$3,N($H51)&lt;=Params!$E$3)),"Sporadique","Intermédiaire"))))))</f>
        <v>Efficace</v>
      </c>
      <c r="E51" s="6">
        <f t="array" ref="E51">XLOOKUP(A51, EQ!A:A, EQ!B:B, "")</f>
        <v>0</v>
      </c>
      <c r="F51" s="6">
        <f t="array" ref="F51">XLOOKUP(A51, RED!A:A, RED!B:B, "")</f>
        <v>0</v>
      </c>
      <c r="G51" s="3">
        <f t="shared" si="2"/>
        <v>11</v>
      </c>
      <c r="H51" s="3">
        <f t="shared" ref="H51:O51" si="51">XLOOKUP($A51, INDIRECT("'"&amp;H$1&amp;"'!A:A"), INDIRECT("'"&amp;H$1&amp;"'!B:B"), "")</f>
        <v>2</v>
      </c>
      <c r="I51" s="3">
        <f t="shared" si="51"/>
        <v>0.8181818182</v>
      </c>
      <c r="J51" s="3">
        <f t="shared" si="51"/>
        <v>0.1</v>
      </c>
      <c r="K51" s="3">
        <f t="shared" si="51"/>
        <v>0.33734255</v>
      </c>
      <c r="L51" s="3">
        <f t="shared" si="51"/>
        <v>12.06666667</v>
      </c>
      <c r="M51" s="3">
        <f t="shared" si="51"/>
        <v>30.51666667</v>
      </c>
      <c r="N51" s="3">
        <f t="shared" si="51"/>
        <v>15.98333333</v>
      </c>
      <c r="O51" s="3">
        <f t="shared" si="51"/>
        <v>4.35</v>
      </c>
    </row>
    <row r="52" ht="112.5" customHeight="1">
      <c r="A52" s="3" t="str">
        <f>EQ!A39</f>
        <v>60dc13afd9db46855db7cb4b46b2429c473ae61d93c867bb13914cc0ee137a78</v>
      </c>
      <c r="B52" s="3">
        <f t="array" ref="B52">XLOOKUP(A52, Notes!A:A, Notes!B:B, "")</f>
        <v>84.25</v>
      </c>
      <c r="C52" s="3" t="str">
        <f>IFERROR(IMAGE(VLOOKUP(A52,DriveImages!A:C,3,FALSE),4,240,520),"")</f>
        <v/>
      </c>
      <c r="D52" s="3" t="str">
        <f>IF($A52="","",IF(AND(N($G52)&lt;=Params!$D$2,N($H52)&lt;=Params!$E$2),"Peu actif",IF(AND(N($I52)&gt;=Params!$F$4,N($E52)&lt;=Params!$B$2,N($F52)&lt;=Params!$C$2),"Efficace",IF(AND(N($F52)&gt;=Params!$C$4,OR(N($I52)&lt;=Params!$F$3,N($E52)&gt;=Params!$B$4)),"Bloqué",IF(AND(OR(N($G52)&gt;=Params!$D$4,N($H52)&gt;=Params!$E$4),N($I52)&lt;=Params!$F$3),"Persévérant",IF(AND(N($J52)&gt;=Params!$G$4,OR(N($G52)&lt;=Params!$D$3,N($H52)&lt;=Params!$E$3)),"Sporadique","Intermédiaire"))))))</f>
        <v>Efficace</v>
      </c>
      <c r="E52" s="6">
        <f t="array" ref="E52">XLOOKUP(A52, EQ!A:A, EQ!B:B, "")</f>
        <v>0.05555555556</v>
      </c>
      <c r="F52" s="6">
        <f t="array" ref="F52">XLOOKUP(A52, RED!A:A, RED!B:B, "")</f>
        <v>0.02777778</v>
      </c>
      <c r="G52" s="3">
        <f t="shared" si="2"/>
        <v>21</v>
      </c>
      <c r="H52" s="3">
        <f t="shared" ref="H52:O52" si="52">XLOOKUP($A52, INDIRECT("'"&amp;H$1&amp;"'!A:A"), INDIRECT("'"&amp;H$1&amp;"'!B:B"), "")</f>
        <v>3</v>
      </c>
      <c r="I52" s="3">
        <f t="shared" si="52"/>
        <v>0.8095238095</v>
      </c>
      <c r="J52" s="3">
        <f t="shared" si="52"/>
        <v>0.1</v>
      </c>
      <c r="K52" s="3">
        <f t="shared" si="52"/>
        <v>0.3177551</v>
      </c>
      <c r="L52" s="3">
        <f t="shared" si="52"/>
        <v>12.06666667</v>
      </c>
      <c r="M52" s="3">
        <f t="shared" si="52"/>
        <v>31.35</v>
      </c>
      <c r="N52" s="3">
        <f t="shared" si="52"/>
        <v>15.15</v>
      </c>
      <c r="O52" s="3">
        <f t="shared" si="52"/>
        <v>0</v>
      </c>
    </row>
    <row r="53" ht="112.5" customHeight="1">
      <c r="A53" s="3" t="str">
        <f>EQ!A2</f>
        <v>0685c8001a43b03e0a155e1afa0c7bec2f4e82d24f7ce4843b25a441c45dd335</v>
      </c>
      <c r="B53" s="3">
        <f t="array" ref="B53">XLOOKUP(A53, Notes!A:A, Notes!B:B, "")</f>
        <v>70.2</v>
      </c>
      <c r="C53" s="3" t="str">
        <f>IFERROR(IMAGE(VLOOKUP(A53,DriveImages!A:C,3,FALSE),4,240,520),"")</f>
        <v/>
      </c>
      <c r="D53" s="3" t="str">
        <f>IF($A53="","",IF(AND(N($G53)&lt;=Params!$D$2,N($H53)&lt;=Params!$E$2),"Peu actif",IF(AND(N($I53)&gt;=Params!$F$4,N($E53)&lt;=Params!$B$2,N($F53)&lt;=Params!$C$2),"Efficace",IF(AND(N($F53)&gt;=Params!$C$4,OR(N($I53)&lt;=Params!$F$3,N($E53)&gt;=Params!$B$4)),"Bloqué",IF(AND(OR(N($G53)&gt;=Params!$D$4,N($H53)&gt;=Params!$E$4),N($I53)&lt;=Params!$F$3),"Persévérant",IF(AND(N($J53)&gt;=Params!$G$4,OR(N($G53)&lt;=Params!$D$3,N($H53)&lt;=Params!$E$3)),"Sporadique","Intermédiaire"))))))</f>
        <v>Peu actif</v>
      </c>
      <c r="E53" s="6">
        <f t="array" ref="E53">XLOOKUP(A53, EQ!A:A, EQ!B:B, "")</f>
        <v>0</v>
      </c>
      <c r="F53" s="6">
        <f t="array" ref="F53">XLOOKUP(A53, RED!A:A, RED!B:B, "")</f>
        <v>0</v>
      </c>
      <c r="G53" s="3">
        <f t="shared" si="2"/>
        <v>4</v>
      </c>
      <c r="H53" s="3">
        <f t="shared" ref="H53:O53" si="53">XLOOKUP($A53, INDIRECT("'"&amp;H$1&amp;"'!A:A"), INDIRECT("'"&amp;H$1&amp;"'!B:B"), "")</f>
        <v>1</v>
      </c>
      <c r="I53" s="3">
        <f t="shared" si="53"/>
        <v>1</v>
      </c>
      <c r="J53" s="3">
        <f t="shared" si="53"/>
        <v>0</v>
      </c>
      <c r="K53" s="3">
        <f t="shared" si="53"/>
        <v>0.9565215</v>
      </c>
      <c r="L53" s="3">
        <f t="shared" si="53"/>
        <v>12.36666667</v>
      </c>
      <c r="M53" s="3">
        <f t="shared" si="53"/>
        <v>5.683333333</v>
      </c>
      <c r="N53" s="3">
        <f t="shared" si="53"/>
        <v>40.51666667</v>
      </c>
      <c r="O53" s="3">
        <f t="shared" si="53"/>
        <v>0</v>
      </c>
    </row>
    <row r="54" ht="112.5" customHeight="1">
      <c r="A54" s="3" t="str">
        <f>EQ!A44</f>
        <v>6d7f68c6bb26c8342bf3a3e21bb30c4a24aa6ccd9d3319af32684e6641052dcd</v>
      </c>
      <c r="B54" s="3">
        <f t="array" ref="B54">XLOOKUP(A54, Notes!A:A, Notes!B:B, "")</f>
        <v>66.03</v>
      </c>
      <c r="C54" s="3" t="str">
        <f>IFERROR(IMAGE(VLOOKUP(A54,DriveImages!A:C,3,FALSE),4,240,520),"")</f>
        <v/>
      </c>
      <c r="D54" s="3" t="str">
        <f>IF($A54="","",IF(AND(N($G54)&lt;=Params!$D$2,N($H54)&lt;=Params!$E$2),"Peu actif",IF(AND(N($I54)&gt;=Params!$F$4,N($E54)&lt;=Params!$B$2,N($F54)&lt;=Params!$C$2),"Efficace",IF(AND(N($F54)&gt;=Params!$C$4,OR(N($I54)&lt;=Params!$F$3,N($E54)&gt;=Params!$B$4)),"Bloqué",IF(AND(OR(N($G54)&gt;=Params!$D$4,N($H54)&gt;=Params!$E$4),N($I54)&lt;=Params!$F$3),"Persévérant",IF(AND(N($J54)&gt;=Params!$G$4,OR(N($G54)&lt;=Params!$D$3,N($H54)&lt;=Params!$E$3)),"Sporadique","Intermédiaire"))))))</f>
        <v>Intermédiaire</v>
      </c>
      <c r="E54" s="6">
        <f t="array" ref="E54">XLOOKUP(A54, EQ!A:A, EQ!B:B, "")</f>
        <v>0.3333333333</v>
      </c>
      <c r="F54" s="6">
        <f t="array" ref="F54">XLOOKUP(A54, RED!A:A, RED!B:B, "")</f>
        <v>0.16666667</v>
      </c>
      <c r="G54" s="3">
        <f t="shared" si="2"/>
        <v>7</v>
      </c>
      <c r="H54" s="3">
        <f t="shared" ref="H54:O54" si="54">XLOOKUP($A54, INDIRECT("'"&amp;H$1&amp;"'!A:A"), INDIRECT("'"&amp;H$1&amp;"'!B:B"), "")</f>
        <v>1</v>
      </c>
      <c r="I54" s="3">
        <f t="shared" si="54"/>
        <v>0.4285714286</v>
      </c>
      <c r="J54" s="3">
        <f t="shared" si="54"/>
        <v>0</v>
      </c>
      <c r="K54" s="3">
        <f t="shared" si="54"/>
        <v>0.39795914</v>
      </c>
      <c r="L54" s="3">
        <f t="shared" si="54"/>
        <v>12.38333333</v>
      </c>
      <c r="M54" s="3">
        <f t="shared" si="54"/>
        <v>9.766666667</v>
      </c>
      <c r="N54" s="3">
        <f t="shared" si="54"/>
        <v>36.41666667</v>
      </c>
      <c r="O54" s="3">
        <f t="shared" si="54"/>
        <v>9.766666667</v>
      </c>
    </row>
    <row r="55" ht="112.5" customHeight="1">
      <c r="A55" s="3" t="str">
        <f>EQ!A43</f>
        <v>6b6e8c7036722d03a34126403e7106d3512a2d4b72bcd8bde651614e8ad42d7b</v>
      </c>
      <c r="B55" s="3">
        <f t="array" ref="B55">XLOOKUP(A55, Notes!A:A, Notes!B:B, "")</f>
        <v>56.75</v>
      </c>
      <c r="C55" s="3" t="str">
        <f>IFERROR(IMAGE(VLOOKUP(A55,DriveImages!A:C,3,FALSE),4,240,520),"")</f>
        <v/>
      </c>
      <c r="D55" s="3" t="str">
        <f>IF($A55="","",IF(AND(N($G55)&lt;=Params!$D$2,N($H55)&lt;=Params!$E$2),"Peu actif",IF(AND(N($I55)&gt;=Params!$F$4,N($E55)&lt;=Params!$B$2,N($F55)&lt;=Params!$C$2),"Efficace",IF(AND(N($F55)&gt;=Params!$C$4,OR(N($I55)&lt;=Params!$F$3,N($E55)&gt;=Params!$B$4)),"Bloqué",IF(AND(OR(N($G55)&gt;=Params!$D$4,N($H55)&gt;=Params!$E$4),N($I55)&lt;=Params!$F$3),"Persévérant",IF(AND(N($J55)&gt;=Params!$G$4,OR(N($G55)&lt;=Params!$D$3,N($H55)&lt;=Params!$E$3)),"Sporadique","Intermédiaire"))))))</f>
        <v>Sporadique</v>
      </c>
      <c r="E55" s="6">
        <f t="array" ref="E55">XLOOKUP(A55, EQ!A:A, EQ!B:B, "")</f>
        <v>0.25</v>
      </c>
      <c r="F55" s="6">
        <f t="array" ref="F55">XLOOKUP(A55, RED!A:A, RED!B:B, "")</f>
        <v>0.125</v>
      </c>
      <c r="G55" s="3">
        <f t="shared" si="2"/>
        <v>6</v>
      </c>
      <c r="H55" s="3">
        <f t="shared" ref="H55:O55" si="55">XLOOKUP($A55, INDIRECT("'"&amp;H$1&amp;"'!A:A"), INDIRECT("'"&amp;H$1&amp;"'!B:B"), "")</f>
        <v>2</v>
      </c>
      <c r="I55" s="3">
        <f t="shared" si="55"/>
        <v>0.6666666667</v>
      </c>
      <c r="J55" s="3">
        <f t="shared" si="55"/>
        <v>0.2</v>
      </c>
      <c r="K55" s="3">
        <f t="shared" si="55"/>
        <v>0.63095233</v>
      </c>
      <c r="L55" s="3">
        <f t="shared" si="55"/>
        <v>12.45</v>
      </c>
      <c r="M55" s="3">
        <f t="shared" si="55"/>
        <v>10.85</v>
      </c>
      <c r="N55" s="3">
        <f t="shared" si="55"/>
        <v>35.26666667</v>
      </c>
      <c r="O55" s="3">
        <f t="shared" si="55"/>
        <v>0.5666666667</v>
      </c>
    </row>
    <row r="56" ht="112.5" customHeight="1">
      <c r="A56" s="3" t="str">
        <f>EQ!A73</f>
        <v>aeff5cdc8c731a2b16beb6f260aeeca455401bc2ddb229aa87a464475f95b1ca</v>
      </c>
      <c r="B56" s="3">
        <f t="array" ref="B56">XLOOKUP(A56, Notes!A:A, Notes!B:B, "")</f>
        <v>54.53</v>
      </c>
      <c r="C56" s="3" t="str">
        <f>IFERROR(IMAGE(VLOOKUP(A56,DriveImages!A:C,3,FALSE),4,240,520),"")</f>
        <v/>
      </c>
      <c r="D56" s="3" t="str">
        <f>IF($A56="","",IF(AND(N($G56)&lt;=Params!$D$2,N($H56)&lt;=Params!$E$2),"Peu actif",IF(AND(N($I56)&gt;=Params!$F$4,N($E56)&lt;=Params!$B$2,N($F56)&lt;=Params!$C$2),"Efficace",IF(AND(N($F56)&gt;=Params!$C$4,OR(N($I56)&lt;=Params!$F$3,N($E56)&gt;=Params!$B$4)),"Bloqué",IF(AND(OR(N($G56)&gt;=Params!$D$4,N($H56)&gt;=Params!$E$4),N($I56)&lt;=Params!$F$3),"Persévérant",IF(AND(N($J56)&gt;=Params!$G$4,OR(N($G56)&lt;=Params!$D$3,N($H56)&lt;=Params!$E$3)),"Sporadique","Intermédiaire"))))))</f>
        <v>Bloqué</v>
      </c>
      <c r="E56" s="6">
        <f t="array" ref="E56">XLOOKUP(A56, EQ!A:A, EQ!B:B, "")</f>
        <v>1</v>
      </c>
      <c r="F56" s="6">
        <f t="array" ref="F56">XLOOKUP(A56, RED!A:A, RED!B:B, "")</f>
        <v>0.75</v>
      </c>
      <c r="G56" s="3">
        <f t="shared" si="2"/>
        <v>4</v>
      </c>
      <c r="H56" s="3">
        <f t="shared" ref="H56:O56" si="56">XLOOKUP($A56, INDIRECT("'"&amp;H$1&amp;"'!A:A"), INDIRECT("'"&amp;H$1&amp;"'!B:B"), "")</f>
        <v>2</v>
      </c>
      <c r="I56" s="3">
        <f t="shared" si="56"/>
        <v>0</v>
      </c>
      <c r="J56" s="3">
        <f t="shared" si="56"/>
        <v>0.3333333333</v>
      </c>
      <c r="K56" s="3">
        <f t="shared" si="56"/>
        <v>0</v>
      </c>
      <c r="L56" s="3">
        <f t="shared" si="56"/>
        <v>12.56666667</v>
      </c>
      <c r="M56" s="3">
        <f t="shared" si="56"/>
        <v>6.883333333</v>
      </c>
      <c r="N56" s="3">
        <f t="shared" si="56"/>
        <v>39.11666667</v>
      </c>
      <c r="O56" s="3">
        <f t="shared" si="56"/>
        <v>60</v>
      </c>
    </row>
    <row r="57" ht="112.5" customHeight="1">
      <c r="A57" s="3" t="str">
        <f>EQ!A40</f>
        <v>69ea8e8a316c3f982db0286a71ca33c251b858994e27bb848e628967df9d15f9</v>
      </c>
      <c r="B57" s="3">
        <f t="array" ref="B57">XLOOKUP(A57, Notes!A:A, Notes!B:B, "")</f>
        <v>73.15</v>
      </c>
      <c r="C57" s="3" t="str">
        <f>IFERROR(IMAGE(VLOOKUP(A57,DriveImages!A:C,3,FALSE),4,240,520),"")</f>
        <v/>
      </c>
      <c r="D57" s="3" t="str">
        <f>IF($A57="","",IF(AND(N($G57)&lt;=Params!$D$2,N($H57)&lt;=Params!$E$2),"Peu actif",IF(AND(N($I57)&gt;=Params!$F$4,N($E57)&lt;=Params!$B$2,N($F57)&lt;=Params!$C$2),"Efficace",IF(AND(N($F57)&gt;=Params!$C$4,OR(N($I57)&lt;=Params!$F$3,N($E57)&gt;=Params!$B$4)),"Bloqué",IF(AND(OR(N($G57)&gt;=Params!$D$4,N($H57)&gt;=Params!$E$4),N($I57)&lt;=Params!$F$3),"Persévérant",IF(AND(N($J57)&gt;=Params!$G$4,OR(N($G57)&lt;=Params!$D$3,N($H57)&lt;=Params!$E$3)),"Sporadique","Intermédiaire"))))))</f>
        <v>Efficace</v>
      </c>
      <c r="E57" s="6">
        <f t="array" ref="E57">XLOOKUP(A57, EQ!A:A, EQ!B:B, "")</f>
        <v>0</v>
      </c>
      <c r="F57" s="6">
        <f t="array" ref="F57">XLOOKUP(A57, RED!A:A, RED!B:B, "")</f>
        <v>0</v>
      </c>
      <c r="G57" s="3">
        <f t="shared" si="2"/>
        <v>4</v>
      </c>
      <c r="H57" s="3">
        <f t="shared" ref="H57:O57" si="57">XLOOKUP($A57, INDIRECT("'"&amp;H$1&amp;"'!A:A"), INDIRECT("'"&amp;H$1&amp;"'!B:B"), "")</f>
        <v>3</v>
      </c>
      <c r="I57" s="3">
        <f t="shared" si="57"/>
        <v>1</v>
      </c>
      <c r="J57" s="3">
        <f t="shared" si="57"/>
        <v>0.6666666667</v>
      </c>
      <c r="K57" s="3">
        <f t="shared" si="57"/>
        <v>0.9285715</v>
      </c>
      <c r="L57" s="3">
        <f t="shared" si="57"/>
        <v>12.75</v>
      </c>
      <c r="M57" s="3">
        <f t="shared" si="57"/>
        <v>34.5</v>
      </c>
      <c r="N57" s="3">
        <f t="shared" si="57"/>
        <v>11.31666667</v>
      </c>
      <c r="O57" s="3">
        <f t="shared" si="57"/>
        <v>0</v>
      </c>
    </row>
    <row r="58" ht="112.5" customHeight="1">
      <c r="A58" s="3" t="str">
        <f>EQ!A67</f>
        <v>a000fa4903a3a8290435e1735ea6773bf2f2a14d1b5e564b6ab0e060b8e38688</v>
      </c>
      <c r="B58" s="3">
        <f t="array" ref="B58">XLOOKUP(A58, Notes!A:A, Notes!B:B, "")</f>
        <v>71.44</v>
      </c>
      <c r="C58" s="3" t="str">
        <f>IFERROR(IMAGE(VLOOKUP(A58,DriveImages!A:C,3,FALSE),4,240,520),"")</f>
        <v/>
      </c>
      <c r="D58" s="3" t="str">
        <f>IF($A58="","",IF(AND(N($G58)&lt;=Params!$D$2,N($H58)&lt;=Params!$E$2),"Peu actif",IF(AND(N($I58)&gt;=Params!$F$4,N($E58)&lt;=Params!$B$2,N($F58)&lt;=Params!$C$2),"Efficace",IF(AND(N($F58)&gt;=Params!$C$4,OR(N($I58)&lt;=Params!$F$3,N($E58)&gt;=Params!$B$4)),"Bloqué",IF(AND(OR(N($G58)&gt;=Params!$D$4,N($H58)&gt;=Params!$E$4),N($I58)&lt;=Params!$F$3),"Persévérant",IF(AND(N($J58)&gt;=Params!$G$4,OR(N($G58)&lt;=Params!$D$3,N($H58)&lt;=Params!$E$3)),"Sporadique","Intermédiaire"))))))</f>
        <v>Bloqué</v>
      </c>
      <c r="E58" s="6">
        <f t="array" ref="E58">XLOOKUP(A58, EQ!A:A, EQ!B:B, "")</f>
        <v>0.6666666667</v>
      </c>
      <c r="F58" s="6">
        <f t="array" ref="F58">XLOOKUP(A58, RED!A:A, RED!B:B, "")</f>
        <v>0.57142857</v>
      </c>
      <c r="G58" s="3">
        <f t="shared" si="2"/>
        <v>13</v>
      </c>
      <c r="H58" s="3">
        <f t="shared" ref="H58:O58" si="58">XLOOKUP($A58, INDIRECT("'"&amp;H$1&amp;"'!A:A"), INDIRECT("'"&amp;H$1&amp;"'!B:B"), "")</f>
        <v>4</v>
      </c>
      <c r="I58" s="3">
        <f t="shared" si="58"/>
        <v>0.3846153846</v>
      </c>
      <c r="J58" s="3">
        <f t="shared" si="58"/>
        <v>0.25</v>
      </c>
      <c r="K58" s="3">
        <f t="shared" si="58"/>
        <v>0.25</v>
      </c>
      <c r="L58" s="3">
        <f t="shared" si="58"/>
        <v>12.75</v>
      </c>
      <c r="M58" s="3">
        <f t="shared" si="58"/>
        <v>31.35</v>
      </c>
      <c r="N58" s="3">
        <f t="shared" si="58"/>
        <v>14.46666667</v>
      </c>
      <c r="O58" s="3">
        <f t="shared" si="58"/>
        <v>0</v>
      </c>
    </row>
    <row r="59" ht="112.5" customHeight="1">
      <c r="A59" s="3" t="str">
        <f>EQ!A58</f>
        <v>89b998636f98304acf1f5a475b5fad130ac8020d521969a48412173d2ac0971f</v>
      </c>
      <c r="B59" s="3">
        <f t="array" ref="B59">XLOOKUP(A59, Notes!A:A, Notes!B:B, "")</f>
        <v>41.78</v>
      </c>
      <c r="C59" s="3" t="str">
        <f>IFERROR(IMAGE(VLOOKUP(A59,DriveImages!A:C,3,FALSE),4,240,520),"")</f>
        <v/>
      </c>
      <c r="D59" s="3" t="str">
        <f>IF($A59="","",IF(AND(N($G59)&lt;=Params!$D$2,N($H59)&lt;=Params!$E$2),"Peu actif",IF(AND(N($I59)&gt;=Params!$F$4,N($E59)&lt;=Params!$B$2,N($F59)&lt;=Params!$C$2),"Efficace",IF(AND(N($F59)&gt;=Params!$C$4,OR(N($I59)&lt;=Params!$F$3,N($E59)&gt;=Params!$B$4)),"Bloqué",IF(AND(OR(N($G59)&gt;=Params!$D$4,N($H59)&gt;=Params!$E$4),N($I59)&lt;=Params!$F$3),"Persévérant",IF(AND(N($J59)&gt;=Params!$G$4,OR(N($G59)&lt;=Params!$D$3,N($H59)&lt;=Params!$E$3)),"Sporadique","Intermédiaire"))))))</f>
        <v>Peu actif</v>
      </c>
      <c r="E59" s="6">
        <f t="array" ref="E59">XLOOKUP(A59, EQ!A:A, EQ!B:B, "")</f>
        <v>0.5</v>
      </c>
      <c r="F59" s="6">
        <f t="array" ref="F59">XLOOKUP(A59, RED!A:A, RED!B:B, "")</f>
        <v>0.25</v>
      </c>
      <c r="G59" s="3">
        <f t="shared" si="2"/>
        <v>4</v>
      </c>
      <c r="H59" s="3">
        <f t="shared" ref="H59:O59" si="59">XLOOKUP($A59, INDIRECT("'"&amp;H$1&amp;"'!A:A"), INDIRECT("'"&amp;H$1&amp;"'!B:B"), "")</f>
        <v>1</v>
      </c>
      <c r="I59" s="3">
        <f t="shared" si="59"/>
        <v>0.5</v>
      </c>
      <c r="J59" s="3">
        <f t="shared" si="59"/>
        <v>0</v>
      </c>
      <c r="K59" s="3">
        <f t="shared" si="59"/>
        <v>0.44318175</v>
      </c>
      <c r="L59" s="3">
        <f t="shared" si="59"/>
        <v>12.83333333</v>
      </c>
      <c r="M59" s="3">
        <f t="shared" si="59"/>
        <v>5.016666667</v>
      </c>
      <c r="N59" s="3">
        <f t="shared" si="59"/>
        <v>40.71666667</v>
      </c>
      <c r="O59" s="3">
        <f t="shared" si="59"/>
        <v>1.966666667</v>
      </c>
    </row>
    <row r="60" ht="112.5" customHeight="1">
      <c r="A60" s="3" t="str">
        <f>EQ!A14</f>
        <v>23e416c6f9deb987ac8f8f136e8551133ba63c734122e2f82eaeec72b03bad9e</v>
      </c>
      <c r="B60" s="3">
        <f t="array" ref="B60">XLOOKUP(A60, Notes!A:A, Notes!B:B, "")</f>
        <v>65.54</v>
      </c>
      <c r="C60" s="3" t="str">
        <f>IFERROR(IMAGE(VLOOKUP(A60,DriveImages!A:C,3,FALSE),4,240,520),"")</f>
        <v/>
      </c>
      <c r="D60" s="3" t="str">
        <f>IF($A60="","",IF(AND(N($G60)&lt;=Params!$D$2,N($H60)&lt;=Params!$E$2),"Peu actif",IF(AND(N($I60)&gt;=Params!$F$4,N($E60)&lt;=Params!$B$2,N($F60)&lt;=Params!$C$2),"Efficace",IF(AND(N($F60)&gt;=Params!$C$4,OR(N($I60)&lt;=Params!$F$3,N($E60)&gt;=Params!$B$4)),"Bloqué",IF(AND(OR(N($G60)&gt;=Params!$D$4,N($H60)&gt;=Params!$E$4),N($I60)&lt;=Params!$F$3),"Persévérant",IF(AND(N($J60)&gt;=Params!$G$4,OR(N($G60)&lt;=Params!$D$3,N($H60)&lt;=Params!$E$3)),"Sporadique","Intermédiaire"))))))</f>
        <v>Persévérant</v>
      </c>
      <c r="E60" s="6">
        <f t="array" ref="E60">XLOOKUP(A60, EQ!A:A, EQ!B:B, "")</f>
        <v>0.5416666667</v>
      </c>
      <c r="F60" s="6">
        <f t="array" ref="F60">XLOOKUP(A60, RED!A:A, RED!B:B, "")</f>
        <v>0.46180556</v>
      </c>
      <c r="G60" s="3">
        <f t="shared" si="2"/>
        <v>32</v>
      </c>
      <c r="H60" s="3">
        <f t="shared" ref="H60:O60" si="60">XLOOKUP($A60, INDIRECT("'"&amp;H$1&amp;"'!A:A"), INDIRECT("'"&amp;H$1&amp;"'!B:B"), "")</f>
        <v>2</v>
      </c>
      <c r="I60" s="3">
        <f t="shared" si="60"/>
        <v>0.375</v>
      </c>
      <c r="J60" s="3">
        <f t="shared" si="60"/>
        <v>0.03225806452</v>
      </c>
      <c r="K60" s="3">
        <f t="shared" si="60"/>
        <v>0.35602675</v>
      </c>
      <c r="L60" s="3">
        <f t="shared" si="60"/>
        <v>12.83333333</v>
      </c>
      <c r="M60" s="3">
        <f t="shared" si="60"/>
        <v>39.33333333</v>
      </c>
      <c r="N60" s="3">
        <f t="shared" si="60"/>
        <v>6.4</v>
      </c>
      <c r="O60" s="3">
        <f t="shared" si="60"/>
        <v>8.266666667</v>
      </c>
    </row>
    <row r="61" ht="112.5" customHeight="1">
      <c r="A61" s="3" t="str">
        <f>EQ!A21</f>
        <v>349cf265b30475874348c4e1b4520dc39d2668fe73f446cde11ed834aef06f6d</v>
      </c>
      <c r="B61" s="3">
        <f t="array" ref="B61">XLOOKUP(A61, Notes!A:A, Notes!B:B, "")</f>
        <v>69.17</v>
      </c>
      <c r="C61" s="3" t="str">
        <f>IFERROR(IMAGE(VLOOKUP(A61,DriveImages!A:C,3,FALSE),4,240,520),"")</f>
        <v/>
      </c>
      <c r="D61" s="3" t="str">
        <f>IF($A61="","",IF(AND(N($G61)&lt;=Params!$D$2,N($H61)&lt;=Params!$E$2),"Peu actif",IF(AND(N($I61)&gt;=Params!$F$4,N($E61)&lt;=Params!$B$2,N($F61)&lt;=Params!$C$2),"Efficace",IF(AND(N($F61)&gt;=Params!$C$4,OR(N($I61)&lt;=Params!$F$3,N($E61)&gt;=Params!$B$4)),"Bloqué",IF(AND(OR(N($G61)&gt;=Params!$D$4,N($H61)&gt;=Params!$E$4),N($I61)&lt;=Params!$F$3),"Persévérant",IF(AND(N($J61)&gt;=Params!$G$4,OR(N($G61)&lt;=Params!$D$3,N($H61)&lt;=Params!$E$3)),"Sporadique","Intermédiaire"))))))</f>
        <v>Intermédiaire</v>
      </c>
      <c r="E61" s="6">
        <f t="array" ref="E61">XLOOKUP(A61, EQ!A:A, EQ!B:B, "")</f>
        <v>0.2</v>
      </c>
      <c r="F61" s="6">
        <f t="array" ref="F61">XLOOKUP(A61, RED!A:A, RED!B:B, "")</f>
        <v>0.1</v>
      </c>
      <c r="G61" s="3">
        <f t="shared" si="2"/>
        <v>9</v>
      </c>
      <c r="H61" s="3">
        <f t="shared" ref="H61:O61" si="61">XLOOKUP($A61, INDIRECT("'"&amp;H$1&amp;"'!A:A"), INDIRECT("'"&amp;H$1&amp;"'!B:B"), "")</f>
        <v>2</v>
      </c>
      <c r="I61" s="3">
        <f t="shared" si="61"/>
        <v>0.6666666667</v>
      </c>
      <c r="J61" s="3">
        <f t="shared" si="61"/>
        <v>0.125</v>
      </c>
      <c r="K61" s="3">
        <f t="shared" si="61"/>
        <v>0.59788367</v>
      </c>
      <c r="L61" s="3">
        <f t="shared" si="61"/>
        <v>12.88333333</v>
      </c>
      <c r="M61" s="3">
        <f t="shared" si="61"/>
        <v>21.51666667</v>
      </c>
      <c r="N61" s="3">
        <f t="shared" si="61"/>
        <v>24.16666667</v>
      </c>
      <c r="O61" s="3">
        <f t="shared" si="61"/>
        <v>0</v>
      </c>
    </row>
    <row r="62" ht="112.5" customHeight="1">
      <c r="A62" s="3" t="str">
        <f>EQ!A30</f>
        <v>48002b47ecdcaeb4828400130c7d77959319f9ae612dfbd03a91f7422c093ac7</v>
      </c>
      <c r="B62" s="3">
        <f t="array" ref="B62">XLOOKUP(A62, Notes!A:A, Notes!B:B, "")</f>
        <v>66.71</v>
      </c>
      <c r="C62" s="3" t="str">
        <f>IFERROR(IMAGE(VLOOKUP(A62,DriveImages!A:C,3,FALSE),4,240,520),"")</f>
        <v/>
      </c>
      <c r="D62" s="3" t="str">
        <f>IF($A62="","",IF(AND(N($G62)&lt;=Params!$D$2,N($H62)&lt;=Params!$E$2),"Peu actif",IF(AND(N($I62)&gt;=Params!$F$4,N($E62)&lt;=Params!$B$2,N($F62)&lt;=Params!$C$2),"Efficace",IF(AND(N($F62)&gt;=Params!$C$4,OR(N($I62)&lt;=Params!$F$3,N($E62)&gt;=Params!$B$4)),"Bloqué",IF(AND(OR(N($G62)&gt;=Params!$D$4,N($H62)&gt;=Params!$E$4),N($I62)&lt;=Params!$F$3),"Persévérant",IF(AND(N($J62)&gt;=Params!$G$4,OR(N($G62)&lt;=Params!$D$3,N($H62)&lt;=Params!$E$3)),"Sporadique","Intermédiaire"))))))</f>
        <v>Sporadique</v>
      </c>
      <c r="E62" s="6">
        <f t="array" ref="E62">XLOOKUP(A62, EQ!A:A, EQ!B:B, "")</f>
        <v>0.25</v>
      </c>
      <c r="F62" s="6">
        <f t="array" ref="F62">XLOOKUP(A62, RED!A:A, RED!B:B, "")</f>
        <v>0.125</v>
      </c>
      <c r="G62" s="3">
        <f t="shared" si="2"/>
        <v>7</v>
      </c>
      <c r="H62" s="3">
        <f t="shared" ref="H62:O62" si="62">XLOOKUP($A62, INDIRECT("'"&amp;H$1&amp;"'!A:A"), INDIRECT("'"&amp;H$1&amp;"'!B:B"), "")</f>
        <v>3</v>
      </c>
      <c r="I62" s="3">
        <f t="shared" si="62"/>
        <v>0.5714285714</v>
      </c>
      <c r="J62" s="3">
        <f t="shared" si="62"/>
        <v>0.3333333333</v>
      </c>
      <c r="K62" s="3">
        <f t="shared" si="62"/>
        <v>0.43428571</v>
      </c>
      <c r="L62" s="3">
        <f t="shared" si="62"/>
        <v>13.03333333</v>
      </c>
      <c r="M62" s="3">
        <f t="shared" si="62"/>
        <v>27.71666667</v>
      </c>
      <c r="N62" s="3">
        <f t="shared" si="62"/>
        <v>17.81666667</v>
      </c>
      <c r="O62" s="3">
        <f t="shared" si="62"/>
        <v>0.5</v>
      </c>
    </row>
    <row r="63" ht="112.5" customHeight="1">
      <c r="A63" s="3" t="str">
        <f>EQ!A105</f>
        <v>f837bce807410ac6f8b52fcee81a1ffaa2d7f77755861f2e6f2b482bff0f6fe9</v>
      </c>
      <c r="B63" s="3">
        <f t="array" ref="B63">XLOOKUP(A63, Notes!A:A, Notes!B:B, "")</f>
        <v>80.65</v>
      </c>
      <c r="C63" s="3" t="str">
        <f>IFERROR(IMAGE(VLOOKUP(A63,DriveImages!A:C,3,FALSE),4,240,520),"")</f>
        <v/>
      </c>
      <c r="D63" s="3" t="str">
        <f>IF($A63="","",IF(AND(N($G63)&lt;=Params!$D$2,N($H63)&lt;=Params!$E$2),"Peu actif",IF(AND(N($I63)&gt;=Params!$F$4,N($E63)&lt;=Params!$B$2,N($F63)&lt;=Params!$C$2),"Efficace",IF(AND(N($F63)&gt;=Params!$C$4,OR(N($I63)&lt;=Params!$F$3,N($E63)&gt;=Params!$B$4)),"Bloqué",IF(AND(OR(N($G63)&gt;=Params!$D$4,N($H63)&gt;=Params!$E$4),N($I63)&lt;=Params!$F$3),"Persévérant",IF(AND(N($J63)&gt;=Params!$G$4,OR(N($G63)&lt;=Params!$D$3,N($H63)&lt;=Params!$E$3)),"Sporadique","Intermédiaire"))))))</f>
        <v>Bloqué</v>
      </c>
      <c r="E63" s="6">
        <f t="array" ref="E63">XLOOKUP(A63, EQ!A:A, EQ!B:B, "")</f>
        <v>1</v>
      </c>
      <c r="F63" s="6">
        <f t="array" ref="F63">XLOOKUP(A63, RED!A:A, RED!B:B, "")</f>
        <v>0.86675824</v>
      </c>
      <c r="G63" s="3">
        <f t="shared" si="2"/>
        <v>15</v>
      </c>
      <c r="H63" s="3">
        <f t="shared" ref="H63:O63" si="63">XLOOKUP($A63, INDIRECT("'"&amp;H$1&amp;"'!A:A"), INDIRECT("'"&amp;H$1&amp;"'!B:B"), "")</f>
        <v>4</v>
      </c>
      <c r="I63" s="3">
        <f t="shared" si="63"/>
        <v>0</v>
      </c>
      <c r="J63" s="3">
        <f t="shared" si="63"/>
        <v>0.2142857143</v>
      </c>
      <c r="K63" s="3">
        <f t="shared" si="63"/>
        <v>0</v>
      </c>
      <c r="L63" s="3">
        <f t="shared" si="63"/>
        <v>13.06666667</v>
      </c>
      <c r="M63" s="3">
        <f t="shared" si="63"/>
        <v>31.23333333</v>
      </c>
      <c r="N63" s="3">
        <f t="shared" si="63"/>
        <v>14.26666667</v>
      </c>
      <c r="O63" s="3">
        <f t="shared" si="63"/>
        <v>60</v>
      </c>
    </row>
    <row r="64" ht="112.5" customHeight="1">
      <c r="A64" s="3" t="str">
        <f>EQ!A93</f>
        <v>d87811d4a1e9ba86c382fda19de6f7d1ad04b42f8c0dceeb81cd7cafc1008ed8</v>
      </c>
      <c r="B64" s="3">
        <f t="array" ref="B64">XLOOKUP(A64, Notes!A:A, Notes!B:B, "")</f>
        <v>73.16</v>
      </c>
      <c r="C64" s="3" t="str">
        <f>IFERROR(IMAGE(VLOOKUP(A64,DriveImages!A:C,3,FALSE),4,240,520),"")</f>
        <v/>
      </c>
      <c r="D64" s="3" t="str">
        <f>IF($A64="","",IF(AND(N($G64)&lt;=Params!$D$2,N($H64)&lt;=Params!$E$2),"Peu actif",IF(AND(N($I64)&gt;=Params!$F$4,N($E64)&lt;=Params!$B$2,N($F64)&lt;=Params!$C$2),"Efficace",IF(AND(N($F64)&gt;=Params!$C$4,OR(N($I64)&lt;=Params!$F$3,N($E64)&gt;=Params!$B$4)),"Bloqué",IF(AND(OR(N($G64)&gt;=Params!$D$4,N($H64)&gt;=Params!$E$4),N($I64)&lt;=Params!$F$3),"Persévérant",IF(AND(N($J64)&gt;=Params!$G$4,OR(N($G64)&lt;=Params!$D$3,N($H64)&lt;=Params!$E$3)),"Sporadique","Intermédiaire"))))))</f>
        <v>Intermédiaire</v>
      </c>
      <c r="E64" s="6">
        <f t="array" ref="E64">XLOOKUP(A64, EQ!A:A, EQ!B:B, "")</f>
        <v>0.3181818182</v>
      </c>
      <c r="F64" s="6">
        <f t="array" ref="F64">XLOOKUP(A64, RED!A:A, RED!B:B, "")</f>
        <v>0.25649351</v>
      </c>
      <c r="G64" s="3">
        <f t="shared" si="2"/>
        <v>24</v>
      </c>
      <c r="H64" s="3">
        <f t="shared" ref="H64:O64" si="64">XLOOKUP($A64, INDIRECT("'"&amp;H$1&amp;"'!A:A"), INDIRECT("'"&amp;H$1&amp;"'!B:B"), "")</f>
        <v>3</v>
      </c>
      <c r="I64" s="3">
        <f t="shared" si="64"/>
        <v>0.5833333333</v>
      </c>
      <c r="J64" s="3">
        <f t="shared" si="64"/>
        <v>0.08695652174</v>
      </c>
      <c r="K64" s="3">
        <f t="shared" si="64"/>
        <v>0.43318183</v>
      </c>
      <c r="L64" s="3">
        <f t="shared" si="64"/>
        <v>13.15</v>
      </c>
      <c r="M64" s="3">
        <f t="shared" si="64"/>
        <v>35.66666667</v>
      </c>
      <c r="N64" s="3">
        <f t="shared" si="64"/>
        <v>9.75</v>
      </c>
      <c r="O64" s="3">
        <f t="shared" si="64"/>
        <v>14.58333333</v>
      </c>
    </row>
    <row r="65" ht="112.5" customHeight="1">
      <c r="A65" s="3" t="str">
        <f>EQ!A65</f>
        <v>95944dae06f4e15b8e63e41064092bc51db9f568df5abcdb866112b0a58a759a</v>
      </c>
      <c r="B65" s="3">
        <f t="array" ref="B65">XLOOKUP(A65, Notes!A:A, Notes!B:B, "")</f>
        <v>82.53</v>
      </c>
      <c r="C65" s="3" t="str">
        <f>IFERROR(IMAGE(VLOOKUP(A65,DriveImages!A:C,3,FALSE),4,240,520),"")</f>
        <v/>
      </c>
      <c r="D65" s="3" t="str">
        <f>IF($A65="","",IF(AND(N($G65)&lt;=Params!$D$2,N($H65)&lt;=Params!$E$2),"Peu actif",IF(AND(N($I65)&gt;=Params!$F$4,N($E65)&lt;=Params!$B$2,N($F65)&lt;=Params!$C$2),"Efficace",IF(AND(N($F65)&gt;=Params!$C$4,OR(N($I65)&lt;=Params!$F$3,N($E65)&gt;=Params!$B$4)),"Bloqué",IF(AND(OR(N($G65)&gt;=Params!$D$4,N($H65)&gt;=Params!$E$4),N($I65)&lt;=Params!$F$3),"Persévérant",IF(AND(N($J65)&gt;=Params!$G$4,OR(N($G65)&lt;=Params!$D$3,N($H65)&lt;=Params!$E$3)),"Sporadique","Intermédiaire"))))))</f>
        <v>Efficace</v>
      </c>
      <c r="E65" s="6">
        <f t="array" ref="E65">XLOOKUP(A65, EQ!A:A, EQ!B:B, "")</f>
        <v>0</v>
      </c>
      <c r="F65" s="6">
        <f t="array" ref="F65">XLOOKUP(A65, RED!A:A, RED!B:B, "")</f>
        <v>0</v>
      </c>
      <c r="G65" s="3">
        <f t="shared" si="2"/>
        <v>6</v>
      </c>
      <c r="H65" s="3">
        <f t="shared" ref="H65:O65" si="65">XLOOKUP($A65, INDIRECT("'"&amp;H$1&amp;"'!A:A"), INDIRECT("'"&amp;H$1&amp;"'!B:B"), "")</f>
        <v>1</v>
      </c>
      <c r="I65" s="3">
        <f t="shared" si="65"/>
        <v>0.8333333333</v>
      </c>
      <c r="J65" s="3">
        <f t="shared" si="65"/>
        <v>0</v>
      </c>
      <c r="K65" s="3">
        <f t="shared" si="65"/>
        <v>0.83333333</v>
      </c>
      <c r="L65" s="3">
        <f t="shared" si="65"/>
        <v>13.16666667</v>
      </c>
      <c r="M65" s="3">
        <f t="shared" si="65"/>
        <v>0.9166666667</v>
      </c>
      <c r="N65" s="3">
        <f t="shared" si="65"/>
        <v>44.48333333</v>
      </c>
      <c r="O65" s="3">
        <f t="shared" si="65"/>
        <v>0.2166666667</v>
      </c>
    </row>
    <row r="66" ht="112.5" customHeight="1">
      <c r="A66" s="3" t="str">
        <f>EQ!A100</f>
        <v>ea47fdcc277117bd663900f36ab09bad41ea1af083ccbc63647b5838e1056ebc</v>
      </c>
      <c r="B66" s="3">
        <f t="array" ref="B66">XLOOKUP(A66, Notes!A:A, Notes!B:B, "")</f>
        <v>83.25</v>
      </c>
      <c r="C66" s="3" t="str">
        <f>IFERROR(IMAGE(VLOOKUP(A66,DriveImages!A:C,3,FALSE),4,240,520),"")</f>
        <v/>
      </c>
      <c r="D66" s="3" t="str">
        <f>IF($A66="","",IF(AND(N($G66)&lt;=Params!$D$2,N($H66)&lt;=Params!$E$2),"Peu actif",IF(AND(N($I66)&gt;=Params!$F$4,N($E66)&lt;=Params!$B$2,N($F66)&lt;=Params!$C$2),"Efficace",IF(AND(N($F66)&gt;=Params!$C$4,OR(N($I66)&lt;=Params!$F$3,N($E66)&gt;=Params!$B$4)),"Bloqué",IF(AND(OR(N($G66)&gt;=Params!$D$4,N($H66)&gt;=Params!$E$4),N($I66)&lt;=Params!$F$3),"Persévérant",IF(AND(N($J66)&gt;=Params!$G$4,OR(N($G66)&lt;=Params!$D$3,N($H66)&lt;=Params!$E$3)),"Sporadique","Intermédiaire"))))))</f>
        <v>Efficace</v>
      </c>
      <c r="E66" s="6">
        <f t="array" ref="E66">XLOOKUP(A66, EQ!A:A, EQ!B:B, "")</f>
        <v>0</v>
      </c>
      <c r="F66" s="6">
        <f t="array" ref="F66">XLOOKUP(A66, RED!A:A, RED!B:B, "")</f>
        <v>0</v>
      </c>
      <c r="G66" s="3">
        <f t="shared" si="2"/>
        <v>19</v>
      </c>
      <c r="H66" s="3">
        <f t="shared" ref="H66:O66" si="66">XLOOKUP($A66, INDIRECT("'"&amp;H$1&amp;"'!A:A"), INDIRECT("'"&amp;H$1&amp;"'!B:B"), "")</f>
        <v>1</v>
      </c>
      <c r="I66" s="3">
        <f t="shared" si="66"/>
        <v>0.8421052632</v>
      </c>
      <c r="J66" s="3">
        <f t="shared" si="66"/>
        <v>0</v>
      </c>
      <c r="K66" s="3">
        <f t="shared" si="66"/>
        <v>0.77161658</v>
      </c>
      <c r="L66" s="3">
        <f t="shared" si="66"/>
        <v>13.2</v>
      </c>
      <c r="M66" s="3">
        <f t="shared" si="66"/>
        <v>33.25</v>
      </c>
      <c r="N66" s="3">
        <f t="shared" si="66"/>
        <v>12.11666667</v>
      </c>
      <c r="O66" s="3">
        <f t="shared" si="66"/>
        <v>0</v>
      </c>
    </row>
    <row r="67" ht="112.5" customHeight="1">
      <c r="A67" s="3" t="str">
        <f>EQ!A81</f>
        <v>bfe01fd74f4a333b18002bc2d02ce800bee2e244cc59a5156ca3fcc5a0cdce00</v>
      </c>
      <c r="B67" s="3">
        <f t="array" ref="B67">XLOOKUP(A67, Notes!A:A, Notes!B:B, "")</f>
        <v>73.25</v>
      </c>
      <c r="C67" s="3" t="str">
        <f>IFERROR(IMAGE(VLOOKUP(A67,DriveImages!A:C,3,FALSE),4,240,520),"")</f>
        <v/>
      </c>
      <c r="D67" s="3" t="str">
        <f>IF($A67="","",IF(AND(N($G67)&lt;=Params!$D$2,N($H67)&lt;=Params!$E$2),"Peu actif",IF(AND(N($I67)&gt;=Params!$F$4,N($E67)&lt;=Params!$B$2,N($F67)&lt;=Params!$C$2),"Efficace",IF(AND(N($F67)&gt;=Params!$C$4,OR(N($I67)&lt;=Params!$F$3,N($E67)&gt;=Params!$B$4)),"Bloqué",IF(AND(OR(N($G67)&gt;=Params!$D$4,N($H67)&gt;=Params!$E$4),N($I67)&lt;=Params!$F$3),"Persévérant",IF(AND(N($J67)&gt;=Params!$G$4,OR(N($G67)&lt;=Params!$D$3,N($H67)&lt;=Params!$E$3)),"Sporadique","Intermédiaire"))))))</f>
        <v>Intermédiaire</v>
      </c>
      <c r="E67" s="6">
        <f t="array" ref="E67">XLOOKUP(A67, EQ!A:A, EQ!B:B, "")</f>
        <v>0.4</v>
      </c>
      <c r="F67" s="6">
        <f t="array" ref="F67">XLOOKUP(A67, RED!A:A, RED!B:B, "")</f>
        <v>0.26666667</v>
      </c>
      <c r="G67" s="3">
        <f t="shared" si="2"/>
        <v>6</v>
      </c>
      <c r="H67" s="3">
        <f t="shared" ref="H67:O67" si="67">XLOOKUP($A67, INDIRECT("'"&amp;H$1&amp;"'!A:A"), INDIRECT("'"&amp;H$1&amp;"'!B:B"), "")</f>
        <v>1</v>
      </c>
      <c r="I67" s="3">
        <f t="shared" si="67"/>
        <v>0.5</v>
      </c>
      <c r="J67" s="3">
        <f t="shared" si="67"/>
        <v>0</v>
      </c>
      <c r="K67" s="3">
        <f t="shared" si="67"/>
        <v>0.26</v>
      </c>
      <c r="L67" s="3">
        <f t="shared" si="67"/>
        <v>13.41666667</v>
      </c>
      <c r="M67" s="3">
        <f t="shared" si="67"/>
        <v>5.933333333</v>
      </c>
      <c r="N67" s="3">
        <f t="shared" si="67"/>
        <v>39.21666667</v>
      </c>
      <c r="O67" s="3">
        <f t="shared" si="67"/>
        <v>5.933333333</v>
      </c>
    </row>
    <row r="68" ht="112.5" customHeight="1">
      <c r="A68" s="3" t="str">
        <f>EQ!A20</f>
        <v>345dad5114b3cd453211fb2463b2677b927fb8bed5528f041e0451dfd0f2dca2</v>
      </c>
      <c r="B68" s="3">
        <f t="array" ref="B68">XLOOKUP(A68, Notes!A:A, Notes!B:B, "")</f>
        <v>64.44</v>
      </c>
      <c r="C68" s="3" t="str">
        <f>IFERROR(IMAGE(VLOOKUP(A68,DriveImages!A:C,3,FALSE),4,240,520),"")</f>
        <v/>
      </c>
      <c r="D68" s="3" t="str">
        <f>IF($A68="","",IF(AND(N($G68)&lt;=Params!$D$2,N($H68)&lt;=Params!$E$2),"Peu actif",IF(AND(N($I68)&gt;=Params!$F$4,N($E68)&lt;=Params!$B$2,N($F68)&lt;=Params!$C$2),"Efficace",IF(AND(N($F68)&gt;=Params!$C$4,OR(N($I68)&lt;=Params!$F$3,N($E68)&gt;=Params!$B$4)),"Bloqué",IF(AND(OR(N($G68)&gt;=Params!$D$4,N($H68)&gt;=Params!$E$4),N($I68)&lt;=Params!$F$3),"Persévérant",IF(AND(N($J68)&gt;=Params!$G$4,OR(N($G68)&lt;=Params!$D$3,N($H68)&lt;=Params!$E$3)),"Sporadique","Intermédiaire"))))))</f>
        <v>Intermédiaire</v>
      </c>
      <c r="E68" s="6">
        <f t="array" ref="E68">XLOOKUP(A68, EQ!A:A, EQ!B:B, "")</f>
        <v>0.2608695652</v>
      </c>
      <c r="F68" s="6">
        <f t="array" ref="F68">XLOOKUP(A68, RED!A:A, RED!B:B, "")</f>
        <v>0.20289855</v>
      </c>
      <c r="G68" s="3">
        <f t="shared" si="2"/>
        <v>26</v>
      </c>
      <c r="H68" s="3">
        <f t="shared" ref="H68:O68" si="68">XLOOKUP($A68, INDIRECT("'"&amp;H$1&amp;"'!A:A"), INDIRECT("'"&amp;H$1&amp;"'!B:B"), "")</f>
        <v>3</v>
      </c>
      <c r="I68" s="3">
        <f t="shared" si="68"/>
        <v>0.5769230769</v>
      </c>
      <c r="J68" s="3">
        <f t="shared" si="68"/>
        <v>0.08</v>
      </c>
      <c r="K68" s="3">
        <f t="shared" si="68"/>
        <v>0.28227772</v>
      </c>
      <c r="L68" s="3">
        <f t="shared" si="68"/>
        <v>13.5</v>
      </c>
      <c r="M68" s="3">
        <f t="shared" si="68"/>
        <v>37.9</v>
      </c>
      <c r="N68" s="3">
        <f t="shared" si="68"/>
        <v>7.166666667</v>
      </c>
      <c r="O68" s="3">
        <f t="shared" si="68"/>
        <v>5.2</v>
      </c>
    </row>
    <row r="69" ht="112.5" customHeight="1">
      <c r="A69" s="3" t="str">
        <f>EQ!A12</f>
        <v>22d436278c2d2678362e2b3102b5bfa9227eecad30f599801b730e0cc7acd1c6</v>
      </c>
      <c r="B69" s="3">
        <f t="array" ref="B69">XLOOKUP(A69, Notes!A:A, Notes!B:B, "")</f>
        <v>67.1</v>
      </c>
      <c r="C69" s="3" t="str">
        <f>IFERROR(IMAGE(VLOOKUP(A69,DriveImages!A:C,3,FALSE),4,240,520),"")</f>
        <v/>
      </c>
      <c r="D69" s="3" t="str">
        <f>IF($A69="","",IF(AND(N($G69)&lt;=Params!$D$2,N($H69)&lt;=Params!$E$2),"Peu actif",IF(AND(N($I69)&gt;=Params!$F$4,N($E69)&lt;=Params!$B$2,N($F69)&lt;=Params!$C$2),"Efficace",IF(AND(N($F69)&gt;=Params!$C$4,OR(N($I69)&lt;=Params!$F$3,N($E69)&gt;=Params!$B$4)),"Bloqué",IF(AND(OR(N($G69)&gt;=Params!$D$4,N($H69)&gt;=Params!$E$4),N($I69)&lt;=Params!$F$3),"Persévérant",IF(AND(N($J69)&gt;=Params!$G$4,OR(N($G69)&lt;=Params!$D$3,N($H69)&lt;=Params!$E$3)),"Sporadique","Intermédiaire"))))))</f>
        <v>Intermédiaire</v>
      </c>
      <c r="E69" s="6">
        <f t="array" ref="E69">XLOOKUP(A69, EQ!A:A, EQ!B:B, "")</f>
        <v>0.1428571429</v>
      </c>
      <c r="F69" s="6">
        <f t="array" ref="F69">XLOOKUP(A69, RED!A:A, RED!B:B, "")</f>
        <v>0.07142857</v>
      </c>
      <c r="G69" s="3">
        <f t="shared" si="2"/>
        <v>13</v>
      </c>
      <c r="H69" s="3">
        <f t="shared" ref="H69:O69" si="69">XLOOKUP($A69, INDIRECT("'"&amp;H$1&amp;"'!A:A"), INDIRECT("'"&amp;H$1&amp;"'!B:B"), "")</f>
        <v>5</v>
      </c>
      <c r="I69" s="3">
        <f t="shared" si="69"/>
        <v>0.7692307692</v>
      </c>
      <c r="J69" s="3">
        <f t="shared" si="69"/>
        <v>0.3333333333</v>
      </c>
      <c r="K69" s="3">
        <f t="shared" si="69"/>
        <v>0.67445054</v>
      </c>
      <c r="L69" s="3">
        <f t="shared" si="69"/>
        <v>13.63333333</v>
      </c>
      <c r="M69" s="3">
        <f t="shared" si="69"/>
        <v>35.61666667</v>
      </c>
      <c r="N69" s="3">
        <f t="shared" si="69"/>
        <v>9.316666667</v>
      </c>
      <c r="O69" s="3">
        <f t="shared" si="69"/>
        <v>0.5666666667</v>
      </c>
    </row>
    <row r="70" ht="112.5" customHeight="1">
      <c r="A70" s="3" t="str">
        <f>EQ!A16</f>
        <v>2a9dda5adde456cb4c1ec3735fde1d4591c3b0780ef3d82b8c7fed613382e82f</v>
      </c>
      <c r="B70" s="3">
        <f t="array" ref="B70">XLOOKUP(A70, Notes!A:A, Notes!B:B, "")</f>
        <v>77.44</v>
      </c>
      <c r="C70" s="3" t="str">
        <f>IFERROR(IMAGE(VLOOKUP(A70,DriveImages!A:C,3,FALSE),4,240,520),"")</f>
        <v/>
      </c>
      <c r="D70" s="3" t="str">
        <f>IF($A70="","",IF(AND(N($G70)&lt;=Params!$D$2,N($H70)&lt;=Params!$E$2),"Peu actif",IF(AND(N($I70)&gt;=Params!$F$4,N($E70)&lt;=Params!$B$2,N($F70)&lt;=Params!$C$2),"Efficace",IF(AND(N($F70)&gt;=Params!$C$4,OR(N($I70)&lt;=Params!$F$3,N($E70)&gt;=Params!$B$4)),"Bloqué",IF(AND(OR(N($G70)&gt;=Params!$D$4,N($H70)&gt;=Params!$E$4),N($I70)&lt;=Params!$F$3),"Persévérant",IF(AND(N($J70)&gt;=Params!$G$4,OR(N($G70)&lt;=Params!$D$3,N($H70)&lt;=Params!$E$3)),"Sporadique","Intermédiaire"))))))</f>
        <v>Intermédiaire</v>
      </c>
      <c r="E70" s="6">
        <f t="array" ref="E70">XLOOKUP(A70, EQ!A:A, EQ!B:B, "")</f>
        <v>0.375</v>
      </c>
      <c r="F70" s="6">
        <f t="array" ref="F70">XLOOKUP(A70, RED!A:A, RED!B:B, "")</f>
        <v>0.28125</v>
      </c>
      <c r="G70" s="3">
        <f t="shared" si="2"/>
        <v>17</v>
      </c>
      <c r="H70" s="3">
        <f t="shared" ref="H70:O70" si="70">XLOOKUP($A70, INDIRECT("'"&amp;H$1&amp;"'!A:A"), INDIRECT("'"&amp;H$1&amp;"'!B:B"), "")</f>
        <v>1</v>
      </c>
      <c r="I70" s="3">
        <f t="shared" si="70"/>
        <v>0.7058823529</v>
      </c>
      <c r="J70" s="3">
        <f t="shared" si="70"/>
        <v>0</v>
      </c>
      <c r="K70" s="3">
        <f t="shared" si="70"/>
        <v>0.66666671</v>
      </c>
      <c r="L70" s="3">
        <f t="shared" si="70"/>
        <v>13.66666667</v>
      </c>
      <c r="M70" s="3">
        <f t="shared" si="70"/>
        <v>36.18333333</v>
      </c>
      <c r="N70" s="3">
        <f t="shared" si="70"/>
        <v>8.716666667</v>
      </c>
      <c r="O70" s="3">
        <f t="shared" si="70"/>
        <v>7.316666667</v>
      </c>
    </row>
    <row r="71" ht="112.5" customHeight="1">
      <c r="A71" s="3" t="str">
        <f>EQ!A71</f>
        <v>aa3e744d9ea1bfef5bac5c29b695be41bbe453b6bf59bb5ff04d04fe3ddb9b7e</v>
      </c>
      <c r="B71" s="3">
        <f t="array" ref="B71">XLOOKUP(A71, Notes!A:A, Notes!B:B, "")</f>
        <v>76.25</v>
      </c>
      <c r="C71" s="3" t="str">
        <f>IFERROR(IMAGE(VLOOKUP(A71,DriveImages!A:C,3,FALSE),4,240,520),"")</f>
        <v/>
      </c>
      <c r="D71" s="3" t="str">
        <f>IF($A71="","",IF(AND(N($G71)&lt;=Params!$D$2,N($H71)&lt;=Params!$E$2),"Peu actif",IF(AND(N($I71)&gt;=Params!$F$4,N($E71)&lt;=Params!$B$2,N($F71)&lt;=Params!$C$2),"Efficace",IF(AND(N($F71)&gt;=Params!$C$4,OR(N($I71)&lt;=Params!$F$3,N($E71)&gt;=Params!$B$4)),"Bloqué",IF(AND(OR(N($G71)&gt;=Params!$D$4,N($H71)&gt;=Params!$E$4),N($I71)&lt;=Params!$F$3),"Persévérant",IF(AND(N($J71)&gt;=Params!$G$4,OR(N($G71)&lt;=Params!$D$3,N($H71)&lt;=Params!$E$3)),"Sporadique","Intermédiaire"))))))</f>
        <v>Intermédiaire</v>
      </c>
      <c r="E71" s="6">
        <f t="array" ref="E71">XLOOKUP(A71, EQ!A:A, EQ!B:B, "")</f>
        <v>0.2631578947</v>
      </c>
      <c r="F71" s="6">
        <f t="array" ref="F71">XLOOKUP(A71, RED!A:A, RED!B:B, "")</f>
        <v>0.19473684</v>
      </c>
      <c r="G71" s="3">
        <f t="shared" si="2"/>
        <v>23</v>
      </c>
      <c r="H71" s="3">
        <f t="shared" ref="H71:O71" si="71">XLOOKUP($A71, INDIRECT("'"&amp;H$1&amp;"'!A:A"), INDIRECT("'"&amp;H$1&amp;"'!B:B"), "")</f>
        <v>4</v>
      </c>
      <c r="I71" s="3">
        <f t="shared" si="71"/>
        <v>0.5217391304</v>
      </c>
      <c r="J71" s="3">
        <f t="shared" si="71"/>
        <v>0.1363636364</v>
      </c>
      <c r="K71" s="3">
        <f t="shared" si="71"/>
        <v>0.31991483</v>
      </c>
      <c r="L71" s="3">
        <f t="shared" si="71"/>
        <v>13.85</v>
      </c>
      <c r="M71" s="3">
        <f t="shared" si="71"/>
        <v>41.05</v>
      </c>
      <c r="N71" s="3">
        <f t="shared" si="71"/>
        <v>3.666666667</v>
      </c>
      <c r="O71" s="3">
        <f t="shared" si="71"/>
        <v>8.533333333</v>
      </c>
    </row>
    <row r="72" ht="112.5" customHeight="1">
      <c r="A72" s="3" t="str">
        <f>EQ!A99</f>
        <v>e4380b18857e28837873b807b4ee2bee2e199a3536f56fb56fb5949de4c17a77</v>
      </c>
      <c r="B72" s="3">
        <f t="array" ref="B72">XLOOKUP(A72, Notes!A:A, Notes!B:B, "")</f>
        <v>66.48</v>
      </c>
      <c r="C72" s="3" t="str">
        <f>IFERROR(IMAGE(VLOOKUP(A72,DriveImages!A:C,3,FALSE),4,240,520),"")</f>
        <v/>
      </c>
      <c r="D72" s="3" t="str">
        <f>IF($A72="","",IF(AND(N($G72)&lt;=Params!$D$2,N($H72)&lt;=Params!$E$2),"Peu actif",IF(AND(N($I72)&gt;=Params!$F$4,N($E72)&lt;=Params!$B$2,N($F72)&lt;=Params!$C$2),"Efficace",IF(AND(N($F72)&gt;=Params!$C$4,OR(N($I72)&lt;=Params!$F$3,N($E72)&gt;=Params!$B$4)),"Bloqué",IF(AND(OR(N($G72)&gt;=Params!$D$4,N($H72)&gt;=Params!$E$4),N($I72)&lt;=Params!$F$3),"Persévérant",IF(AND(N($J72)&gt;=Params!$G$4,OR(N($G72)&lt;=Params!$D$3,N($H72)&lt;=Params!$E$3)),"Sporadique","Intermédiaire"))))))</f>
        <v>Peu actif</v>
      </c>
      <c r="E72" s="6">
        <f t="array" ref="E72">XLOOKUP(A72, EQ!A:A, EQ!B:B, "")</f>
        <v>0.6666666667</v>
      </c>
      <c r="F72" s="6">
        <f t="array" ref="F72">XLOOKUP(A72, RED!A:A, RED!B:B, "")</f>
        <v>0.44444444</v>
      </c>
      <c r="G72" s="3">
        <f t="shared" si="2"/>
        <v>4</v>
      </c>
      <c r="H72" s="3">
        <f t="shared" ref="H72:O72" si="72">XLOOKUP($A72, INDIRECT("'"&amp;H$1&amp;"'!A:A"), INDIRECT("'"&amp;H$1&amp;"'!B:B"), "")</f>
        <v>1</v>
      </c>
      <c r="I72" s="3">
        <f t="shared" si="72"/>
        <v>0.25</v>
      </c>
      <c r="J72" s="3">
        <f t="shared" si="72"/>
        <v>0</v>
      </c>
      <c r="K72" s="3">
        <f t="shared" si="72"/>
        <v>0.25</v>
      </c>
      <c r="L72" s="3">
        <f t="shared" si="72"/>
        <v>13.95</v>
      </c>
      <c r="M72" s="3">
        <f t="shared" si="72"/>
        <v>1.916666667</v>
      </c>
      <c r="N72" s="3">
        <f t="shared" si="72"/>
        <v>42.7</v>
      </c>
      <c r="O72" s="3">
        <f t="shared" si="72"/>
        <v>1.916666667</v>
      </c>
    </row>
    <row r="73" ht="112.5" customHeight="1">
      <c r="A73" s="3" t="str">
        <f>EQ!A86</f>
        <v>cbdbb864a7b15c5903aa09adff018a3d184f25c250b86926a5bc3fd9d9169037</v>
      </c>
      <c r="B73" s="3">
        <f t="array" ref="B73">XLOOKUP(A73, Notes!A:A, Notes!B:B, "")</f>
        <v>0</v>
      </c>
      <c r="C73" s="3" t="str">
        <f>IFERROR(IMAGE(VLOOKUP(A73,DriveImages!A:C,3,FALSE),4,240,520),"")</f>
        <v/>
      </c>
      <c r="D73" s="3" t="str">
        <f>IF($A73="","",IF(AND(N($G73)&lt;=Params!$D$2,N($H73)&lt;=Params!$E$2),"Peu actif",IF(AND(N($I73)&gt;=Params!$F$4,N($E73)&lt;=Params!$B$2,N($F73)&lt;=Params!$C$2),"Efficace",IF(AND(N($F73)&gt;=Params!$C$4,OR(N($I73)&lt;=Params!$F$3,N($E73)&gt;=Params!$B$4)),"Bloqué",IF(AND(OR(N($G73)&gt;=Params!$D$4,N($H73)&gt;=Params!$E$4),N($I73)&lt;=Params!$F$3),"Persévérant",IF(AND(N($J73)&gt;=Params!$G$4,OR(N($G73)&lt;=Params!$D$3,N($H73)&lt;=Params!$E$3)),"Sporadique","Intermédiaire"))))))</f>
        <v>Intermédiaire</v>
      </c>
      <c r="E73" s="6">
        <f t="array" ref="E73">XLOOKUP(A73, EQ!A:A, EQ!B:B, "")</f>
        <v>0.25</v>
      </c>
      <c r="F73" s="6">
        <f t="array" ref="F73">XLOOKUP(A73, RED!A:A, RED!B:B, "")</f>
        <v>0.125</v>
      </c>
      <c r="G73" s="3">
        <f t="shared" si="2"/>
        <v>14</v>
      </c>
      <c r="H73" s="3">
        <f t="shared" ref="H73:O73" si="73">XLOOKUP($A73, INDIRECT("'"&amp;H$1&amp;"'!A:A"), INDIRECT("'"&amp;H$1&amp;"'!B:B"), "")</f>
        <v>1</v>
      </c>
      <c r="I73" s="3">
        <f t="shared" si="73"/>
        <v>0.8571428571</v>
      </c>
      <c r="J73" s="3">
        <f t="shared" si="73"/>
        <v>0</v>
      </c>
      <c r="K73" s="3">
        <f t="shared" si="73"/>
        <v>0.83392486</v>
      </c>
      <c r="L73" s="3">
        <f t="shared" si="73"/>
        <v>13.98333333</v>
      </c>
      <c r="M73" s="3">
        <f t="shared" si="73"/>
        <v>18.33333333</v>
      </c>
      <c r="N73" s="3">
        <f t="shared" si="73"/>
        <v>26.25</v>
      </c>
      <c r="O73" s="3">
        <f t="shared" si="73"/>
        <v>0.3</v>
      </c>
    </row>
    <row r="74" ht="112.5" customHeight="1">
      <c r="A74" s="3" t="str">
        <f>EQ!A24</f>
        <v>4082ac64b81101cbebcabd3b8b597bf7966896898674d507e118e3c0367ac800</v>
      </c>
      <c r="B74" s="3">
        <f t="array" ref="B74">XLOOKUP(A74, Notes!A:A, Notes!B:B, "")</f>
        <v>41.55</v>
      </c>
      <c r="C74" s="3" t="str">
        <f>IFERROR(IMAGE(VLOOKUP(A74,DriveImages!A:C,3,FALSE),4,240,520),"")</f>
        <v/>
      </c>
      <c r="D74" s="3" t="str">
        <f>IF($A74="","",IF(AND(N($G74)&lt;=Params!$D$2,N($H74)&lt;=Params!$E$2),"Peu actif",IF(AND(N($I74)&gt;=Params!$F$4,N($E74)&lt;=Params!$B$2,N($F74)&lt;=Params!$C$2),"Efficace",IF(AND(N($F74)&gt;=Params!$C$4,OR(N($I74)&lt;=Params!$F$3,N($E74)&gt;=Params!$B$4)),"Bloqué",IF(AND(OR(N($G74)&gt;=Params!$D$4,N($H74)&gt;=Params!$E$4),N($I74)&lt;=Params!$F$3),"Persévérant",IF(AND(N($J74)&gt;=Params!$G$4,OR(N($G74)&lt;=Params!$D$3,N($H74)&lt;=Params!$E$3)),"Sporadique","Intermédiaire"))))))</f>
        <v>Peu actif</v>
      </c>
      <c r="E74" s="6">
        <f t="array" ref="E74">XLOOKUP(A74, EQ!A:A, EQ!B:B, "")</f>
        <v>1</v>
      </c>
      <c r="F74" s="6">
        <f t="array" ref="F74">XLOOKUP(A74, RED!A:A, RED!B:B, "")</f>
        <v>0.8</v>
      </c>
      <c r="G74" s="3">
        <f t="shared" si="2"/>
        <v>5</v>
      </c>
      <c r="H74" s="3">
        <f t="shared" ref="H74:O74" si="74">XLOOKUP($A74, INDIRECT("'"&amp;H$1&amp;"'!A:A"), INDIRECT("'"&amp;H$1&amp;"'!B:B"), "")</f>
        <v>1</v>
      </c>
      <c r="I74" s="3">
        <f t="shared" si="74"/>
        <v>0</v>
      </c>
      <c r="J74" s="3">
        <f t="shared" si="74"/>
        <v>0</v>
      </c>
      <c r="K74" s="3">
        <f t="shared" si="74"/>
        <v>0</v>
      </c>
      <c r="L74" s="3">
        <f t="shared" si="74"/>
        <v>14.01666667</v>
      </c>
      <c r="M74" s="3">
        <f t="shared" si="74"/>
        <v>0.4166666667</v>
      </c>
      <c r="N74" s="3">
        <f t="shared" si="74"/>
        <v>44.13333333</v>
      </c>
      <c r="O74" s="3">
        <f t="shared" si="74"/>
        <v>60</v>
      </c>
    </row>
    <row r="75" ht="112.5" customHeight="1">
      <c r="A75" s="3" t="str">
        <f>EQ!A103</f>
        <v>f1adcb66d665ecba393da1490aca01e322bebd658ae2ef41aadee9ec7106def2</v>
      </c>
      <c r="B75" s="3">
        <f t="array" ref="B75">XLOOKUP(A75, Notes!A:A, Notes!B:B, "")</f>
        <v>93.16</v>
      </c>
      <c r="C75" s="3" t="str">
        <f>IFERROR(IMAGE(VLOOKUP(A75,DriveImages!A:C,3,FALSE),4,240,520),"")</f>
        <v/>
      </c>
      <c r="D75" s="3" t="str">
        <f>IF($A75="","",IF(AND(N($G75)&lt;=Params!$D$2,N($H75)&lt;=Params!$E$2),"Peu actif",IF(AND(N($I75)&gt;=Params!$F$4,N($E75)&lt;=Params!$B$2,N($F75)&lt;=Params!$C$2),"Efficace",IF(AND(N($F75)&gt;=Params!$C$4,OR(N($I75)&lt;=Params!$F$3,N($E75)&gt;=Params!$B$4)),"Bloqué",IF(AND(OR(N($G75)&gt;=Params!$D$4,N($H75)&gt;=Params!$E$4),N($I75)&lt;=Params!$F$3),"Persévérant",IF(AND(N($J75)&gt;=Params!$G$4,OR(N($G75)&lt;=Params!$D$3,N($H75)&lt;=Params!$E$3)),"Sporadique","Intermédiaire"))))))</f>
        <v>Efficace</v>
      </c>
      <c r="E75" s="6">
        <f t="array" ref="E75">XLOOKUP(A75, EQ!A:A, EQ!B:B, "")</f>
        <v>0</v>
      </c>
      <c r="F75" s="6">
        <f t="array" ref="F75">XLOOKUP(A75, RED!A:A, RED!B:B, "")</f>
        <v>0</v>
      </c>
      <c r="G75" s="3">
        <f t="shared" si="2"/>
        <v>4</v>
      </c>
      <c r="H75" s="3">
        <f t="shared" ref="H75:O75" si="75">XLOOKUP($A75, INDIRECT("'"&amp;H$1&amp;"'!A:A"), INDIRECT("'"&amp;H$1&amp;"'!B:B"), "")</f>
        <v>2</v>
      </c>
      <c r="I75" s="3">
        <f t="shared" si="75"/>
        <v>0.75</v>
      </c>
      <c r="J75" s="3">
        <f t="shared" si="75"/>
        <v>0.3333333333</v>
      </c>
      <c r="K75" s="3">
        <f t="shared" si="75"/>
        <v>0.659091</v>
      </c>
      <c r="L75" s="3">
        <f t="shared" si="75"/>
        <v>14.1</v>
      </c>
      <c r="M75" s="3">
        <f t="shared" si="75"/>
        <v>9.966666667</v>
      </c>
      <c r="N75" s="3">
        <f t="shared" si="75"/>
        <v>34.5</v>
      </c>
      <c r="O75" s="3">
        <f t="shared" si="75"/>
        <v>9.966666667</v>
      </c>
    </row>
    <row r="76" ht="112.5" customHeight="1">
      <c r="A76" s="3" t="str">
        <f>EQ!A47</f>
        <v>7026047c5e9f18234ed92d0bc1518a2a4944fc2a9a0bb90628e20b2d93e7f9ae</v>
      </c>
      <c r="B76" s="3">
        <f t="array" ref="B76">XLOOKUP(A76, Notes!A:A, Notes!B:B, "")</f>
        <v>63.01</v>
      </c>
      <c r="C76" s="3" t="str">
        <f>IFERROR(IMAGE(VLOOKUP(A76,DriveImages!A:C,3,FALSE),4,240,520),"")</f>
        <v/>
      </c>
      <c r="D76" s="3" t="str">
        <f>IF($A76="","",IF(AND(N($G76)&lt;=Params!$D$2,N($H76)&lt;=Params!$E$2),"Peu actif",IF(AND(N($I76)&gt;=Params!$F$4,N($E76)&lt;=Params!$B$2,N($F76)&lt;=Params!$C$2),"Efficace",IF(AND(N($F76)&gt;=Params!$C$4,OR(N($I76)&lt;=Params!$F$3,N($E76)&gt;=Params!$B$4)),"Bloqué",IF(AND(OR(N($G76)&gt;=Params!$D$4,N($H76)&gt;=Params!$E$4),N($I76)&lt;=Params!$F$3),"Persévérant",IF(AND(N($J76)&gt;=Params!$G$4,OR(N($G76)&lt;=Params!$D$3,N($H76)&lt;=Params!$E$3)),"Sporadique","Intermédiaire"))))))</f>
        <v>Intermédiaire</v>
      </c>
      <c r="E76" s="6">
        <f t="array" ref="E76">XLOOKUP(A76, EQ!A:A, EQ!B:B, "")</f>
        <v>0.5714285714</v>
      </c>
      <c r="F76" s="6">
        <f t="array" ref="F76">XLOOKUP(A76, RED!A:A, RED!B:B, "")</f>
        <v>0.45714286</v>
      </c>
      <c r="G76" s="3">
        <f t="shared" si="2"/>
        <v>9</v>
      </c>
      <c r="H76" s="3">
        <f t="shared" ref="H76:O76" si="76">XLOOKUP($A76, INDIRECT("'"&amp;H$1&amp;"'!A:A"), INDIRECT("'"&amp;H$1&amp;"'!B:B"), "")</f>
        <v>2</v>
      </c>
      <c r="I76" s="3">
        <f t="shared" si="76"/>
        <v>0.4444444444</v>
      </c>
      <c r="J76" s="3">
        <f t="shared" si="76"/>
        <v>0.125</v>
      </c>
      <c r="K76" s="3">
        <f t="shared" si="76"/>
        <v>0.15476184</v>
      </c>
      <c r="L76" s="3">
        <f t="shared" si="76"/>
        <v>14.43333333</v>
      </c>
      <c r="M76" s="3">
        <f t="shared" si="76"/>
        <v>13.33333333</v>
      </c>
      <c r="N76" s="3">
        <f t="shared" si="76"/>
        <v>30.8</v>
      </c>
      <c r="O76" s="3">
        <f t="shared" si="76"/>
        <v>0</v>
      </c>
    </row>
    <row r="77" ht="112.5" customHeight="1">
      <c r="A77" s="3" t="str">
        <f>EQ!A82</f>
        <v>c38594bec27d288cfe5bd031cde0cff4c46de188336f74ff3f79854c88c65b00</v>
      </c>
      <c r="B77" s="3">
        <f t="array" ref="B77">XLOOKUP(A77, Notes!A:A, Notes!B:B, "")</f>
        <v>63.31</v>
      </c>
      <c r="C77" s="3" t="str">
        <f>IFERROR(IMAGE(VLOOKUP(A77,DriveImages!A:C,3,FALSE),4,240,520),"")</f>
        <v/>
      </c>
      <c r="D77" s="3" t="str">
        <f>IF($A77="","",IF(AND(N($G77)&lt;=Params!$D$2,N($H77)&lt;=Params!$E$2),"Peu actif",IF(AND(N($I77)&gt;=Params!$F$4,N($E77)&lt;=Params!$B$2,N($F77)&lt;=Params!$C$2),"Efficace",IF(AND(N($F77)&gt;=Params!$C$4,OR(N($I77)&lt;=Params!$F$3,N($E77)&gt;=Params!$B$4)),"Bloqué",IF(AND(OR(N($G77)&gt;=Params!$D$4,N($H77)&gt;=Params!$E$4),N($I77)&lt;=Params!$F$3),"Persévérant",IF(AND(N($J77)&gt;=Params!$G$4,OR(N($G77)&lt;=Params!$D$3,N($H77)&lt;=Params!$E$3)),"Sporadique","Intermédiaire"))))))</f>
        <v>Sporadique</v>
      </c>
      <c r="E77" s="6">
        <f t="array" ref="E77">XLOOKUP(A77, EQ!A:A, EQ!B:B, "")</f>
        <v>0.1428571429</v>
      </c>
      <c r="F77" s="6">
        <f t="array" ref="F77">XLOOKUP(A77, RED!A:A, RED!B:B, "")</f>
        <v>0.07142857</v>
      </c>
      <c r="G77" s="3">
        <f t="shared" si="2"/>
        <v>10</v>
      </c>
      <c r="H77" s="3">
        <f t="shared" ref="H77:O77" si="77">XLOOKUP($A77, INDIRECT("'"&amp;H$1&amp;"'!A:A"), INDIRECT("'"&amp;H$1&amp;"'!B:B"), "")</f>
        <v>3</v>
      </c>
      <c r="I77" s="3">
        <f t="shared" si="77"/>
        <v>0.6</v>
      </c>
      <c r="J77" s="3">
        <f t="shared" si="77"/>
        <v>0.2222222222</v>
      </c>
      <c r="K77" s="3">
        <f t="shared" si="77"/>
        <v>0.4647273</v>
      </c>
      <c r="L77" s="3">
        <f t="shared" si="77"/>
        <v>14.5</v>
      </c>
      <c r="M77" s="3">
        <f t="shared" si="77"/>
        <v>32.4</v>
      </c>
      <c r="N77" s="3">
        <f t="shared" si="77"/>
        <v>11.66666667</v>
      </c>
      <c r="O77" s="3">
        <f t="shared" si="77"/>
        <v>1.366666667</v>
      </c>
    </row>
    <row r="78" ht="112.5" customHeight="1">
      <c r="A78" s="3" t="str">
        <f>EQ!A32</f>
        <v>4d1ccd3b1393438168aeac88ee6d753d95c33c77fcc46afa13a5415a265323c2</v>
      </c>
      <c r="B78" s="3">
        <f t="array" ref="B78">XLOOKUP(A78, Notes!A:A, Notes!B:B, "")</f>
        <v>51</v>
      </c>
      <c r="C78" s="3" t="str">
        <f>IFERROR(IMAGE(VLOOKUP(A78,DriveImages!A:C,3,FALSE),4,240,520),"")</f>
        <v/>
      </c>
      <c r="D78" s="3" t="str">
        <f>IF($A78="","",IF(AND(N($G78)&lt;=Params!$D$2,N($H78)&lt;=Params!$E$2),"Peu actif",IF(AND(N($I78)&gt;=Params!$F$4,N($E78)&lt;=Params!$B$2,N($F78)&lt;=Params!$C$2),"Efficace",IF(AND(N($F78)&gt;=Params!$C$4,OR(N($I78)&lt;=Params!$F$3,N($E78)&gt;=Params!$B$4)),"Bloqué",IF(AND(OR(N($G78)&gt;=Params!$D$4,N($H78)&gt;=Params!$E$4),N($I78)&lt;=Params!$F$3),"Persévérant",IF(AND(N($J78)&gt;=Params!$G$4,OR(N($G78)&lt;=Params!$D$3,N($H78)&lt;=Params!$E$3)),"Sporadique","Intermédiaire"))))))</f>
        <v>Persévérant</v>
      </c>
      <c r="E78" s="6">
        <f t="array" ref="E78">XLOOKUP(A78, EQ!A:A, EQ!B:B, "")</f>
        <v>0.3461538462</v>
      </c>
      <c r="F78" s="6">
        <f t="array" ref="F78">XLOOKUP(A78, RED!A:A, RED!B:B, "")</f>
        <v>0.25</v>
      </c>
      <c r="G78" s="3">
        <f t="shared" si="2"/>
        <v>27</v>
      </c>
      <c r="H78" s="3">
        <f t="shared" ref="H78:O78" si="78">XLOOKUP($A78, INDIRECT("'"&amp;H$1&amp;"'!A:A"), INDIRECT("'"&amp;H$1&amp;"'!B:B"), "")</f>
        <v>2</v>
      </c>
      <c r="I78" s="3">
        <f t="shared" si="78"/>
        <v>0.4074074074</v>
      </c>
      <c r="J78" s="3">
        <f t="shared" si="78"/>
        <v>0.03846153846</v>
      </c>
      <c r="K78" s="3">
        <f t="shared" si="78"/>
        <v>0.2323233</v>
      </c>
      <c r="L78" s="3">
        <f t="shared" si="78"/>
        <v>14.51666667</v>
      </c>
      <c r="M78" s="3">
        <f t="shared" si="78"/>
        <v>31.36666667</v>
      </c>
      <c r="N78" s="3">
        <f t="shared" si="78"/>
        <v>12.68333333</v>
      </c>
      <c r="O78" s="3">
        <f t="shared" si="78"/>
        <v>31.36666667</v>
      </c>
    </row>
    <row r="79" ht="112.5" customHeight="1">
      <c r="A79" s="3" t="str">
        <f>EQ!A97</f>
        <v>de14d69ecb05cea275dcf6a7cb707626315f3e81931958d7d7b15131368cf4d6</v>
      </c>
      <c r="B79" s="3">
        <f t="array" ref="B79">XLOOKUP(A79, Notes!A:A, Notes!B:B, "")</f>
        <v>57.33</v>
      </c>
      <c r="C79" s="3" t="str">
        <f>IFERROR(IMAGE(VLOOKUP(A79,DriveImages!A:C,3,FALSE),4,240,520),"")</f>
        <v/>
      </c>
      <c r="D79" s="3" t="str">
        <f>IF($A79="","",IF(AND(N($G79)&lt;=Params!$D$2,N($H79)&lt;=Params!$E$2),"Peu actif",IF(AND(N($I79)&gt;=Params!$F$4,N($E79)&lt;=Params!$B$2,N($F79)&lt;=Params!$C$2),"Efficace",IF(AND(N($F79)&gt;=Params!$C$4,OR(N($I79)&lt;=Params!$F$3,N($E79)&gt;=Params!$B$4)),"Bloqué",IF(AND(OR(N($G79)&gt;=Params!$D$4,N($H79)&gt;=Params!$E$4),N($I79)&lt;=Params!$F$3),"Persévérant",IF(AND(N($J79)&gt;=Params!$G$4,OR(N($G79)&lt;=Params!$D$3,N($H79)&lt;=Params!$E$3)),"Sporadique","Intermédiaire"))))))</f>
        <v>Sporadique</v>
      </c>
      <c r="E79" s="6">
        <f t="array" ref="E79">XLOOKUP(A79, EQ!A:A, EQ!B:B, "")</f>
        <v>0</v>
      </c>
      <c r="F79" s="6">
        <f t="array" ref="F79">XLOOKUP(A79, RED!A:A, RED!B:B, "")</f>
        <v>0</v>
      </c>
      <c r="G79" s="3">
        <f t="shared" si="2"/>
        <v>9</v>
      </c>
      <c r="H79" s="3">
        <f t="shared" ref="H79:O79" si="79">XLOOKUP($A79, INDIRECT("'"&amp;H$1&amp;"'!A:A"), INDIRECT("'"&amp;H$1&amp;"'!B:B"), "")</f>
        <v>3</v>
      </c>
      <c r="I79" s="3">
        <f t="shared" si="79"/>
        <v>0.5555555556</v>
      </c>
      <c r="J79" s="3">
        <f t="shared" si="79"/>
        <v>0.25</v>
      </c>
      <c r="K79" s="3">
        <f t="shared" si="79"/>
        <v>0.50448578</v>
      </c>
      <c r="L79" s="3">
        <f t="shared" si="79"/>
        <v>15.33333333</v>
      </c>
      <c r="M79" s="3">
        <f t="shared" si="79"/>
        <v>35.66666667</v>
      </c>
      <c r="N79" s="3">
        <f t="shared" si="79"/>
        <v>7.566666667</v>
      </c>
      <c r="O79" s="3">
        <f t="shared" si="79"/>
        <v>27.88333333</v>
      </c>
    </row>
    <row r="80" ht="112.5" customHeight="1">
      <c r="A80" s="3" t="str">
        <f>EQ!A104</f>
        <v>f421319a6d338f4c75d9ce493c2ab35aa31da5115a045fb9149446903d5f1141</v>
      </c>
      <c r="B80" s="3">
        <f t="array" ref="B80">XLOOKUP(A80, Notes!A:A, Notes!B:B, "")</f>
        <v>72.98</v>
      </c>
      <c r="C80" s="3" t="str">
        <f>IFERROR(IMAGE(VLOOKUP(A80,DriveImages!A:C,3,FALSE),4,240,520),"")</f>
        <v/>
      </c>
      <c r="D80" s="3" t="str">
        <f>IF($A80="","",IF(AND(N($G80)&lt;=Params!$D$2,N($H80)&lt;=Params!$E$2),"Peu actif",IF(AND(N($I80)&gt;=Params!$F$4,N($E80)&lt;=Params!$B$2,N($F80)&lt;=Params!$C$2),"Efficace",IF(AND(N($F80)&gt;=Params!$C$4,OR(N($I80)&lt;=Params!$F$3,N($E80)&gt;=Params!$B$4)),"Bloqué",IF(AND(OR(N($G80)&gt;=Params!$D$4,N($H80)&gt;=Params!$E$4),N($I80)&lt;=Params!$F$3),"Persévérant",IF(AND(N($J80)&gt;=Params!$G$4,OR(N($G80)&lt;=Params!$D$3,N($H80)&lt;=Params!$E$3)),"Sporadique","Intermédiaire"))))))</f>
        <v>Intermédiaire</v>
      </c>
      <c r="E80" s="6">
        <f t="array" ref="E80">XLOOKUP(A80, EQ!A:A, EQ!B:B, "")</f>
        <v>0.4</v>
      </c>
      <c r="F80" s="6">
        <f t="array" ref="F80">XLOOKUP(A80, RED!A:A, RED!B:B, "")</f>
        <v>0.26666667</v>
      </c>
      <c r="G80" s="3">
        <f t="shared" si="2"/>
        <v>14</v>
      </c>
      <c r="H80" s="3">
        <f t="shared" ref="H80:O80" si="80">XLOOKUP($A80, INDIRECT("'"&amp;H$1&amp;"'!A:A"), INDIRECT("'"&amp;H$1&amp;"'!B:B"), "")</f>
        <v>2</v>
      </c>
      <c r="I80" s="3">
        <f t="shared" si="80"/>
        <v>0.6428571429</v>
      </c>
      <c r="J80" s="3">
        <f t="shared" si="80"/>
        <v>0.07692307692</v>
      </c>
      <c r="K80" s="3">
        <f t="shared" si="80"/>
        <v>0.622449</v>
      </c>
      <c r="L80" s="3">
        <f t="shared" si="80"/>
        <v>15.46666667</v>
      </c>
      <c r="M80" s="3">
        <f t="shared" si="80"/>
        <v>36.28333333</v>
      </c>
      <c r="N80" s="3">
        <f t="shared" si="80"/>
        <v>6.816666667</v>
      </c>
      <c r="O80" s="3">
        <f t="shared" si="80"/>
        <v>1.233333333</v>
      </c>
    </row>
    <row r="81" ht="112.5" customHeight="1">
      <c r="A81" s="3" t="str">
        <f>EQ!A96</f>
        <v>db2e162c7c1734ed5a58abc1706b9efbbdadbd2ba5f77bea6911a1aabd5e0831</v>
      </c>
      <c r="B81" s="3">
        <f t="array" ref="B81">XLOOKUP(A81, Notes!A:A, Notes!B:B, "")</f>
        <v>66</v>
      </c>
      <c r="C81" s="3" t="str">
        <f>IFERROR(IMAGE(VLOOKUP(A81,DriveImages!A:C,3,FALSE),4,240,520),"")</f>
        <v/>
      </c>
      <c r="D81" s="3" t="str">
        <f>IF($A81="","",IF(AND(N($G81)&lt;=Params!$D$2,N($H81)&lt;=Params!$E$2),"Peu actif",IF(AND(N($I81)&gt;=Params!$F$4,N($E81)&lt;=Params!$B$2,N($F81)&lt;=Params!$C$2),"Efficace",IF(AND(N($F81)&gt;=Params!$C$4,OR(N($I81)&lt;=Params!$F$3,N($E81)&gt;=Params!$B$4)),"Bloqué",IF(AND(OR(N($G81)&gt;=Params!$D$4,N($H81)&gt;=Params!$E$4),N($I81)&lt;=Params!$F$3),"Persévérant",IF(AND(N($J81)&gt;=Params!$G$4,OR(N($G81)&lt;=Params!$D$3,N($H81)&lt;=Params!$E$3)),"Sporadique","Intermédiaire"))))))</f>
        <v>Bloqué</v>
      </c>
      <c r="E81" s="6">
        <f t="array" ref="E81">XLOOKUP(A81, EQ!A:A, EQ!B:B, "")</f>
        <v>0.8666666667</v>
      </c>
      <c r="F81" s="6">
        <f t="array" ref="F81">XLOOKUP(A81, RED!A:A, RED!B:B, "")</f>
        <v>0.78175439</v>
      </c>
      <c r="G81" s="3">
        <f t="shared" si="2"/>
        <v>31</v>
      </c>
      <c r="H81" s="3">
        <f t="shared" ref="H81:O81" si="81">XLOOKUP($A81, INDIRECT("'"&amp;H$1&amp;"'!A:A"), INDIRECT("'"&amp;H$1&amp;"'!B:B"), "")</f>
        <v>4</v>
      </c>
      <c r="I81" s="3">
        <f t="shared" si="81"/>
        <v>0.06451612903</v>
      </c>
      <c r="J81" s="3">
        <f t="shared" si="81"/>
        <v>0.1</v>
      </c>
      <c r="K81" s="3">
        <f t="shared" si="81"/>
        <v>0.04488077</v>
      </c>
      <c r="L81" s="3">
        <f t="shared" si="81"/>
        <v>15.55</v>
      </c>
      <c r="M81" s="3">
        <f t="shared" si="81"/>
        <v>31.91666667</v>
      </c>
      <c r="N81" s="3">
        <f t="shared" si="81"/>
        <v>11.1</v>
      </c>
      <c r="O81" s="3">
        <f t="shared" si="81"/>
        <v>60</v>
      </c>
    </row>
    <row r="82" ht="112.5" customHeight="1">
      <c r="A82" s="3" t="str">
        <f>EQ!A35</f>
        <v>570df8c7a9f77bb2889ba29eb35271e4e2340fd1709d075882800ac637643e15</v>
      </c>
      <c r="B82" s="3">
        <f t="array" ref="B82">XLOOKUP(A82, Notes!A:A, Notes!B:B, "")</f>
        <v>37.75</v>
      </c>
      <c r="C82" s="3" t="str">
        <f>IFERROR(IMAGE(VLOOKUP(A82,DriveImages!A:C,3,FALSE),4,240,520),"")</f>
        <v/>
      </c>
      <c r="D82" s="3" t="str">
        <f>IF($A82="","",IF(AND(N($G82)&lt;=Params!$D$2,N($H82)&lt;=Params!$E$2),"Peu actif",IF(AND(N($I82)&gt;=Params!$F$4,N($E82)&lt;=Params!$B$2,N($F82)&lt;=Params!$C$2),"Efficace",IF(AND(N($F82)&gt;=Params!$C$4,OR(N($I82)&lt;=Params!$F$3,N($E82)&gt;=Params!$B$4)),"Bloqué",IF(AND(OR(N($G82)&gt;=Params!$D$4,N($H82)&gt;=Params!$E$4),N($I82)&lt;=Params!$F$3),"Persévérant",IF(AND(N($J82)&gt;=Params!$G$4,OR(N($G82)&lt;=Params!$D$3,N($H82)&lt;=Params!$E$3)),"Sporadique","Intermédiaire"))))))</f>
        <v>Peu actif</v>
      </c>
      <c r="E82" s="6">
        <f t="array" ref="E82">XLOOKUP(A82, EQ!A:A, EQ!B:B, "")</f>
        <v>1</v>
      </c>
      <c r="F82" s="6">
        <f t="array" ref="F82">XLOOKUP(A82, RED!A:A, RED!B:B, "")</f>
        <v>0.75</v>
      </c>
      <c r="G82" s="3">
        <f t="shared" si="2"/>
        <v>4</v>
      </c>
      <c r="H82" s="3">
        <f t="shared" ref="H82:O82" si="82">XLOOKUP($A82, INDIRECT("'"&amp;H$1&amp;"'!A:A"), INDIRECT("'"&amp;H$1&amp;"'!B:B"), "")</f>
        <v>1</v>
      </c>
      <c r="I82" s="3">
        <f t="shared" si="82"/>
        <v>0</v>
      </c>
      <c r="J82" s="3">
        <f t="shared" si="82"/>
        <v>0</v>
      </c>
      <c r="K82" s="3">
        <f t="shared" si="82"/>
        <v>0</v>
      </c>
      <c r="L82" s="3">
        <f t="shared" si="82"/>
        <v>15.73333333</v>
      </c>
      <c r="M82" s="3">
        <f t="shared" si="82"/>
        <v>2.4</v>
      </c>
      <c r="N82" s="3">
        <f t="shared" si="82"/>
        <v>40.43333333</v>
      </c>
      <c r="O82" s="3">
        <f t="shared" si="82"/>
        <v>60</v>
      </c>
    </row>
    <row r="83" ht="112.5" customHeight="1">
      <c r="A83" s="3" t="str">
        <f>EQ!A87</f>
        <v>cec0a384f41fb2446aff0043657c7e32479dd58e701084dde0bcc28f161aa2b1</v>
      </c>
      <c r="B83" s="3">
        <f t="array" ref="B83">XLOOKUP(A83, Notes!A:A, Notes!B:B, "")</f>
        <v>0</v>
      </c>
      <c r="C83" s="3" t="str">
        <f>IFERROR(IMAGE(VLOOKUP(A83,DriveImages!A:C,3,FALSE),4,240,520),"")</f>
        <v/>
      </c>
      <c r="D83" s="3" t="str">
        <f>IF($A83="","",IF(AND(N($G83)&lt;=Params!$D$2,N($H83)&lt;=Params!$E$2),"Peu actif",IF(AND(N($I83)&gt;=Params!$F$4,N($E83)&lt;=Params!$B$2,N($F83)&lt;=Params!$C$2),"Efficace",IF(AND(N($F83)&gt;=Params!$C$4,OR(N($I83)&lt;=Params!$F$3,N($E83)&gt;=Params!$B$4)),"Bloqué",IF(AND(OR(N($G83)&gt;=Params!$D$4,N($H83)&gt;=Params!$E$4),N($I83)&lt;=Params!$F$3),"Persévérant",IF(AND(N($J83)&gt;=Params!$G$4,OR(N($G83)&lt;=Params!$D$3,N($H83)&lt;=Params!$E$3)),"Sporadique","Intermédiaire"))))))</f>
        <v>Intermédiaire</v>
      </c>
      <c r="E83" s="6">
        <f t="array" ref="E83">XLOOKUP(A83, EQ!A:A, EQ!B:B, "")</f>
        <v>0.2727272727</v>
      </c>
      <c r="F83" s="6">
        <f t="array" ref="F83">XLOOKUP(A83, RED!A:A, RED!B:B, "")</f>
        <v>0.16666667</v>
      </c>
      <c r="G83" s="3">
        <f t="shared" si="2"/>
        <v>16</v>
      </c>
      <c r="H83" s="3">
        <f t="shared" ref="H83:O83" si="83">XLOOKUP($A83, INDIRECT("'"&amp;H$1&amp;"'!A:A"), INDIRECT("'"&amp;H$1&amp;"'!B:B"), "")</f>
        <v>4</v>
      </c>
      <c r="I83" s="3">
        <f t="shared" si="83"/>
        <v>0.625</v>
      </c>
      <c r="J83" s="3">
        <f t="shared" si="83"/>
        <v>0.2</v>
      </c>
      <c r="K83" s="3">
        <f t="shared" si="83"/>
        <v>0.43540981</v>
      </c>
      <c r="L83" s="3">
        <f t="shared" si="83"/>
        <v>17.18333333</v>
      </c>
      <c r="M83" s="3">
        <f t="shared" si="83"/>
        <v>32.36666667</v>
      </c>
      <c r="N83" s="3">
        <f t="shared" si="83"/>
        <v>9.016666667</v>
      </c>
      <c r="O83" s="3">
        <f t="shared" si="83"/>
        <v>7.35</v>
      </c>
    </row>
    <row r="84" ht="112.5" customHeight="1">
      <c r="A84" s="3" t="str">
        <f>EQ!A17</f>
        <v>2f002333e3ee078069a370adede771895a413b747a8039cfe1f8b6d5f579fcc5</v>
      </c>
      <c r="B84" s="3">
        <f t="array" ref="B84">XLOOKUP(A84, Notes!A:A, Notes!B:B, "")</f>
        <v>88.66</v>
      </c>
      <c r="C84" s="3" t="str">
        <f>IFERROR(IMAGE(VLOOKUP(A84,DriveImages!A:C,3,FALSE),4,240,520),"")</f>
        <v/>
      </c>
      <c r="D84" s="3" t="str">
        <f>IF($A84="","",IF(AND(N($G84)&lt;=Params!$D$2,N($H84)&lt;=Params!$E$2),"Peu actif",IF(AND(N($I84)&gt;=Params!$F$4,N($E84)&lt;=Params!$B$2,N($F84)&lt;=Params!$C$2),"Efficace",IF(AND(N($F84)&gt;=Params!$C$4,OR(N($I84)&lt;=Params!$F$3,N($E84)&gt;=Params!$B$4)),"Bloqué",IF(AND(OR(N($G84)&gt;=Params!$D$4,N($H84)&gt;=Params!$E$4),N($I84)&lt;=Params!$F$3),"Persévérant",IF(AND(N($J84)&gt;=Params!$G$4,OR(N($G84)&lt;=Params!$D$3,N($H84)&lt;=Params!$E$3)),"Sporadique","Intermédiaire"))))))</f>
        <v>Persévérant</v>
      </c>
      <c r="E84" s="6">
        <f t="array" ref="E84">XLOOKUP(A84, EQ!A:A, EQ!B:B, "")</f>
        <v>0.52</v>
      </c>
      <c r="F84" s="6">
        <f t="array" ref="F84">XLOOKUP(A84, RED!A:A, RED!B:B, "")</f>
        <v>0.386</v>
      </c>
      <c r="G84" s="3">
        <f t="shared" si="2"/>
        <v>30</v>
      </c>
      <c r="H84" s="3">
        <f t="shared" ref="H84:O84" si="84">XLOOKUP($A84, INDIRECT("'"&amp;H$1&amp;"'!A:A"), INDIRECT("'"&amp;H$1&amp;"'!B:B"), "")</f>
        <v>2</v>
      </c>
      <c r="I84" s="3">
        <f t="shared" si="84"/>
        <v>0.3666666667</v>
      </c>
      <c r="J84" s="3">
        <f t="shared" si="84"/>
        <v>0.03448275862</v>
      </c>
      <c r="K84" s="3">
        <f t="shared" si="84"/>
        <v>0.22630303</v>
      </c>
      <c r="L84" s="3">
        <f t="shared" si="84"/>
        <v>17.21666667</v>
      </c>
      <c r="M84" s="3">
        <f t="shared" si="84"/>
        <v>34.68333333</v>
      </c>
      <c r="N84" s="3">
        <f t="shared" si="84"/>
        <v>6.666666667</v>
      </c>
      <c r="O84" s="3">
        <f t="shared" si="84"/>
        <v>5.166666667</v>
      </c>
    </row>
    <row r="85" ht="112.5" customHeight="1">
      <c r="A85" s="3" t="str">
        <f>EQ!A9</f>
        <v>125ae2e6409e498cf96017e4f7168a1612ea2f181a0ea99530cfafb7b3a64807</v>
      </c>
      <c r="B85" s="3">
        <f t="array" ref="B85">XLOOKUP(A85, Notes!A:A, Notes!B:B, "")</f>
        <v>89.91</v>
      </c>
      <c r="C85" s="3" t="str">
        <f>IFERROR(IMAGE(VLOOKUP(A85,DriveImages!A:C,3,FALSE),4,240,520),"")</f>
        <v/>
      </c>
      <c r="D85" s="3" t="str">
        <f>IF($A85="","",IF(AND(N($G85)&lt;=Params!$D$2,N($H85)&lt;=Params!$E$2),"Peu actif",IF(AND(N($I85)&gt;=Params!$F$4,N($E85)&lt;=Params!$B$2,N($F85)&lt;=Params!$C$2),"Efficace",IF(AND(N($F85)&gt;=Params!$C$4,OR(N($I85)&lt;=Params!$F$3,N($E85)&gt;=Params!$B$4)),"Bloqué",IF(AND(OR(N($G85)&gt;=Params!$D$4,N($H85)&gt;=Params!$E$4),N($I85)&lt;=Params!$F$3),"Persévérant",IF(AND(N($J85)&gt;=Params!$G$4,OR(N($G85)&lt;=Params!$D$3,N($H85)&lt;=Params!$E$3)),"Sporadique","Intermédiaire"))))))</f>
        <v>Intermédiaire</v>
      </c>
      <c r="E85" s="6">
        <f t="array" ref="E85">XLOOKUP(A85, EQ!A:A, EQ!B:B, "")</f>
        <v>0.5333333333</v>
      </c>
      <c r="F85" s="6">
        <f t="array" ref="F85">XLOOKUP(A85, RED!A:A, RED!B:B, "")</f>
        <v>0.42777778</v>
      </c>
      <c r="G85" s="3">
        <f t="shared" si="2"/>
        <v>17</v>
      </c>
      <c r="H85" s="3">
        <f t="shared" ref="H85:O85" si="85">XLOOKUP($A85, INDIRECT("'"&amp;H$1&amp;"'!A:A"), INDIRECT("'"&amp;H$1&amp;"'!B:B"), "")</f>
        <v>2</v>
      </c>
      <c r="I85" s="3">
        <f t="shared" si="85"/>
        <v>0.3529411765</v>
      </c>
      <c r="J85" s="3">
        <f t="shared" si="85"/>
        <v>0.0625</v>
      </c>
      <c r="K85" s="3">
        <f t="shared" si="85"/>
        <v>0.25668447</v>
      </c>
      <c r="L85" s="3">
        <f t="shared" si="85"/>
        <v>17.68333333</v>
      </c>
      <c r="M85" s="3">
        <f t="shared" si="85"/>
        <v>29.83333333</v>
      </c>
      <c r="N85" s="3">
        <f t="shared" si="85"/>
        <v>11.05</v>
      </c>
      <c r="O85" s="3">
        <f t="shared" si="85"/>
        <v>5.016666667</v>
      </c>
    </row>
    <row r="86" ht="112.5" customHeight="1">
      <c r="A86" s="3" t="str">
        <f>EQ!A70</f>
        <v>a35833a67176bfc8c1457633e2e41ffb5e4bf6aac7127377e8b9881caf1cf52e</v>
      </c>
      <c r="B86" s="3">
        <f t="array" ref="B86">XLOOKUP(A86, Notes!A:A, Notes!B:B, "")</f>
        <v>47.22</v>
      </c>
      <c r="C86" s="3" t="str">
        <f>IFERROR(IMAGE(VLOOKUP(A86,DriveImages!A:C,3,FALSE),4,240,520),"")</f>
        <v/>
      </c>
      <c r="D86" s="3" t="str">
        <f>IF($A86="","",IF(AND(N($G86)&lt;=Params!$D$2,N($H86)&lt;=Params!$E$2),"Peu actif",IF(AND(N($I86)&gt;=Params!$F$4,N($E86)&lt;=Params!$B$2,N($F86)&lt;=Params!$C$2),"Efficace",IF(AND(N($F86)&gt;=Params!$C$4,OR(N($I86)&lt;=Params!$F$3,N($E86)&gt;=Params!$B$4)),"Bloqué",IF(AND(OR(N($G86)&gt;=Params!$D$4,N($H86)&gt;=Params!$E$4),N($I86)&lt;=Params!$F$3),"Persévérant",IF(AND(N($J86)&gt;=Params!$G$4,OR(N($G86)&lt;=Params!$D$3,N($H86)&lt;=Params!$E$3)),"Sporadique","Intermédiaire"))))))</f>
        <v>Peu actif</v>
      </c>
      <c r="E86" s="6">
        <f t="array" ref="E86">XLOOKUP(A86, EQ!A:A, EQ!B:B, "")</f>
        <v>0.75</v>
      </c>
      <c r="F86" s="6">
        <f t="array" ref="F86">XLOOKUP(A86, RED!A:A, RED!B:B, "")</f>
        <v>0.5625</v>
      </c>
      <c r="G86" s="3">
        <f t="shared" si="2"/>
        <v>5</v>
      </c>
      <c r="H86" s="3">
        <f t="shared" ref="H86:O86" si="86">XLOOKUP($A86, INDIRECT("'"&amp;H$1&amp;"'!A:A"), INDIRECT("'"&amp;H$1&amp;"'!B:B"), "")</f>
        <v>1</v>
      </c>
      <c r="I86" s="3">
        <f t="shared" si="86"/>
        <v>0.2</v>
      </c>
      <c r="J86" s="3">
        <f t="shared" si="86"/>
        <v>0</v>
      </c>
      <c r="K86" s="3">
        <f t="shared" si="86"/>
        <v>0.2</v>
      </c>
      <c r="L86" s="3">
        <f t="shared" si="86"/>
        <v>17.73333333</v>
      </c>
      <c r="M86" s="3">
        <f t="shared" si="86"/>
        <v>3.916666667</v>
      </c>
      <c r="N86" s="3">
        <f t="shared" si="86"/>
        <v>36.91666667</v>
      </c>
      <c r="O86" s="3">
        <f t="shared" si="86"/>
        <v>3.916666667</v>
      </c>
    </row>
    <row r="87" ht="112.5" customHeight="1">
      <c r="A87" s="3" t="str">
        <f>EQ!A45</f>
        <v>6dd7cb5359f54edb9eb0becd33d19118d3e93e266ef7644cf7b9ad2b9ed1262d</v>
      </c>
      <c r="B87" s="3">
        <f t="array" ref="B87">XLOOKUP(A87, Notes!A:A, Notes!B:B, "")</f>
        <v>66.53</v>
      </c>
      <c r="C87" s="3" t="str">
        <f>IFERROR(IMAGE(VLOOKUP(A87,DriveImages!A:C,3,FALSE),4,240,520),"")</f>
        <v/>
      </c>
      <c r="D87" s="3" t="str">
        <f>IF($A87="","",IF(AND(N($G87)&lt;=Params!$D$2,N($H87)&lt;=Params!$E$2),"Peu actif",IF(AND(N($I87)&gt;=Params!$F$4,N($E87)&lt;=Params!$B$2,N($F87)&lt;=Params!$C$2),"Efficace",IF(AND(N($F87)&gt;=Params!$C$4,OR(N($I87)&lt;=Params!$F$3,N($E87)&gt;=Params!$B$4)),"Bloqué",IF(AND(OR(N($G87)&gt;=Params!$D$4,N($H87)&gt;=Params!$E$4),N($I87)&lt;=Params!$F$3),"Persévérant",IF(AND(N($J87)&gt;=Params!$G$4,OR(N($G87)&lt;=Params!$D$3,N($H87)&lt;=Params!$E$3)),"Sporadique","Intermédiaire"))))))</f>
        <v>Bloqué</v>
      </c>
      <c r="E87" s="6">
        <f t="array" ref="E87">XLOOKUP(A87, EQ!A:A, EQ!B:B, "")</f>
        <v>0.7142857143</v>
      </c>
      <c r="F87" s="6">
        <f t="array" ref="F87">XLOOKUP(A87, RED!A:A, RED!B:B, "")</f>
        <v>0.63061224</v>
      </c>
      <c r="G87" s="3">
        <f t="shared" si="2"/>
        <v>24</v>
      </c>
      <c r="H87" s="3">
        <f t="shared" ref="H87:O87" si="87">XLOOKUP($A87, INDIRECT("'"&amp;H$1&amp;"'!A:A"), INDIRECT("'"&amp;H$1&amp;"'!B:B"), "")</f>
        <v>3</v>
      </c>
      <c r="I87" s="3">
        <f t="shared" si="87"/>
        <v>0.2916666667</v>
      </c>
      <c r="J87" s="3">
        <f t="shared" si="87"/>
        <v>0.08695652174</v>
      </c>
      <c r="K87" s="3">
        <f t="shared" si="87"/>
        <v>0.25465838</v>
      </c>
      <c r="L87" s="3">
        <f t="shared" si="87"/>
        <v>17.78333333</v>
      </c>
      <c r="M87" s="3">
        <f t="shared" si="87"/>
        <v>33.73333333</v>
      </c>
      <c r="N87" s="3">
        <f t="shared" si="87"/>
        <v>7.05</v>
      </c>
      <c r="O87" s="3">
        <f t="shared" si="87"/>
        <v>7.383333333</v>
      </c>
    </row>
    <row r="88" ht="112.5" customHeight="1">
      <c r="A88" s="3" t="str">
        <f>EQ!A107</f>
        <v>f8dac969c272aabb2ba0adebac1b711f0f174a8288053069be5391c65bb027c3</v>
      </c>
      <c r="B88" s="3">
        <f t="array" ref="B88">XLOOKUP(A88, Notes!A:A, Notes!B:B, "")</f>
        <v>46.94</v>
      </c>
      <c r="C88" s="3" t="str">
        <f>IFERROR(IMAGE(VLOOKUP(A88,DriveImages!A:C,3,FALSE),4,240,520),"")</f>
        <v/>
      </c>
      <c r="D88" s="3" t="str">
        <f>IF($A88="","",IF(AND(N($G88)&lt;=Params!$D$2,N($H88)&lt;=Params!$E$2),"Peu actif",IF(AND(N($I88)&gt;=Params!$F$4,N($E88)&lt;=Params!$B$2,N($F88)&lt;=Params!$C$2),"Efficace",IF(AND(N($F88)&gt;=Params!$C$4,OR(N($I88)&lt;=Params!$F$3,N($E88)&gt;=Params!$B$4)),"Bloqué",IF(AND(OR(N($G88)&gt;=Params!$D$4,N($H88)&gt;=Params!$E$4),N($I88)&lt;=Params!$F$3),"Persévérant",IF(AND(N($J88)&gt;=Params!$G$4,OR(N($G88)&lt;=Params!$D$3,N($H88)&lt;=Params!$E$3)),"Sporadique","Intermédiaire"))))))</f>
        <v>Bloqué</v>
      </c>
      <c r="E88" s="6">
        <f t="array" ref="E88">XLOOKUP(A88, EQ!A:A, EQ!B:B, "")</f>
        <v>0.6666666667</v>
      </c>
      <c r="F88" s="6">
        <f t="array" ref="F88">XLOOKUP(A88, RED!A:A, RED!B:B, "")</f>
        <v>0.54497354</v>
      </c>
      <c r="G88" s="3">
        <f t="shared" si="2"/>
        <v>23</v>
      </c>
      <c r="H88" s="3">
        <f t="shared" ref="H88:O88" si="88">XLOOKUP($A88, INDIRECT("'"&amp;H$1&amp;"'!A:A"), INDIRECT("'"&amp;H$1&amp;"'!B:B"), "")</f>
        <v>2</v>
      </c>
      <c r="I88" s="3">
        <f t="shared" si="88"/>
        <v>0.3043478261</v>
      </c>
      <c r="J88" s="3">
        <f t="shared" si="88"/>
        <v>0.04545454545</v>
      </c>
      <c r="K88" s="3">
        <f t="shared" si="88"/>
        <v>0.26984878</v>
      </c>
      <c r="L88" s="3">
        <f t="shared" si="88"/>
        <v>18.16666667</v>
      </c>
      <c r="M88" s="3">
        <f t="shared" si="88"/>
        <v>33.61666667</v>
      </c>
      <c r="N88" s="3">
        <f t="shared" si="88"/>
        <v>6.783333333</v>
      </c>
      <c r="O88" s="3">
        <f t="shared" si="88"/>
        <v>21.03333333</v>
      </c>
    </row>
    <row r="89" ht="112.5" customHeight="1">
      <c r="A89" s="3" t="str">
        <f>EQ!A28</f>
        <v>453482ae02a485dd6eda2426eae4181835e1451a36229f550d4efb9d8a7a9470</v>
      </c>
      <c r="B89" s="3">
        <f t="array" ref="B89">XLOOKUP(A89, Notes!A:A, Notes!B:B, "")</f>
        <v>40.5</v>
      </c>
      <c r="C89" s="3" t="str">
        <f>IFERROR(IMAGE(VLOOKUP(A89,DriveImages!A:C,3,FALSE),4,240,520),"")</f>
        <v/>
      </c>
      <c r="D89" s="3" t="str">
        <f>IF($A89="","",IF(AND(N($G89)&lt;=Params!$D$2,N($H89)&lt;=Params!$E$2),"Peu actif",IF(AND(N($I89)&gt;=Params!$F$4,N($E89)&lt;=Params!$B$2,N($F89)&lt;=Params!$C$2),"Efficace",IF(AND(N($F89)&gt;=Params!$C$4,OR(N($I89)&lt;=Params!$F$3,N($E89)&gt;=Params!$B$4)),"Bloqué",IF(AND(OR(N($G89)&gt;=Params!$D$4,N($H89)&gt;=Params!$E$4),N($I89)&lt;=Params!$F$3),"Persévérant",IF(AND(N($J89)&gt;=Params!$G$4,OR(N($G89)&lt;=Params!$D$3,N($H89)&lt;=Params!$E$3)),"Sporadique","Intermédiaire"))))))</f>
        <v>Intermédiaire</v>
      </c>
      <c r="E89" s="6">
        <f t="array" ref="E89">XLOOKUP(A89, EQ!A:A, EQ!B:B, "")</f>
        <v>0.2</v>
      </c>
      <c r="F89" s="6">
        <f t="array" ref="F89">XLOOKUP(A89, RED!A:A, RED!B:B, "")</f>
        <v>0.1</v>
      </c>
      <c r="G89" s="3">
        <f t="shared" si="2"/>
        <v>6</v>
      </c>
      <c r="H89" s="3">
        <f t="shared" ref="H89:O89" si="89">XLOOKUP($A89, INDIRECT("'"&amp;H$1&amp;"'!A:A"), INDIRECT("'"&amp;H$1&amp;"'!B:B"), "")</f>
        <v>1</v>
      </c>
      <c r="I89" s="3">
        <f t="shared" si="89"/>
        <v>0.6666666667</v>
      </c>
      <c r="J89" s="3">
        <f t="shared" si="89"/>
        <v>0</v>
      </c>
      <c r="K89" s="3">
        <f t="shared" si="89"/>
        <v>0.42</v>
      </c>
      <c r="L89" s="3">
        <f t="shared" si="89"/>
        <v>18.38333333</v>
      </c>
      <c r="M89" s="3">
        <f t="shared" si="89"/>
        <v>3.1</v>
      </c>
      <c r="N89" s="3">
        <f t="shared" si="89"/>
        <v>37.08333333</v>
      </c>
      <c r="O89" s="3">
        <f t="shared" si="89"/>
        <v>3.1</v>
      </c>
    </row>
    <row r="90" ht="112.5" customHeight="1">
      <c r="A90" s="3" t="str">
        <f>EQ!A15</f>
        <v>275839578ec60b5084d5e18fccb01310e9f1b78293cad00bec043945e0f3e629</v>
      </c>
      <c r="B90" s="3">
        <f t="array" ref="B90">XLOOKUP(A90, Notes!A:A, Notes!B:B, "")</f>
        <v>70.3</v>
      </c>
      <c r="C90" s="3" t="str">
        <f>IFERROR(IMAGE(VLOOKUP(A90,DriveImages!A:C,3,FALSE),4,240,520),"")</f>
        <v/>
      </c>
      <c r="D90" s="3" t="str">
        <f>IF($A90="","",IF(AND(N($G90)&lt;=Params!$D$2,N($H90)&lt;=Params!$E$2),"Peu actif",IF(AND(N($I90)&gt;=Params!$F$4,N($E90)&lt;=Params!$B$2,N($F90)&lt;=Params!$C$2),"Efficace",IF(AND(N($F90)&gt;=Params!$C$4,OR(N($I90)&lt;=Params!$F$3,N($E90)&gt;=Params!$B$4)),"Bloqué",IF(AND(OR(N($G90)&gt;=Params!$D$4,N($H90)&gt;=Params!$E$4),N($I90)&lt;=Params!$F$3),"Persévérant",IF(AND(N($J90)&gt;=Params!$G$4,OR(N($G90)&lt;=Params!$D$3,N($H90)&lt;=Params!$E$3)),"Sporadique","Intermédiaire"))))))</f>
        <v>Efficace</v>
      </c>
      <c r="E90" s="6">
        <f t="array" ref="E90">XLOOKUP(A90, EQ!A:A, EQ!B:B, "")</f>
        <v>0</v>
      </c>
      <c r="F90" s="6">
        <f t="array" ref="F90">XLOOKUP(A90, RED!A:A, RED!B:B, "")</f>
        <v>0</v>
      </c>
      <c r="G90" s="3">
        <f t="shared" si="2"/>
        <v>14</v>
      </c>
      <c r="H90" s="3">
        <f t="shared" ref="H90:O90" si="90">XLOOKUP($A90, INDIRECT("'"&amp;H$1&amp;"'!A:A"), INDIRECT("'"&amp;H$1&amp;"'!B:B"), "")</f>
        <v>3</v>
      </c>
      <c r="I90" s="3">
        <f t="shared" si="90"/>
        <v>0.8571428571</v>
      </c>
      <c r="J90" s="3">
        <f t="shared" si="90"/>
        <v>0.1538461538</v>
      </c>
      <c r="K90" s="3">
        <f t="shared" si="90"/>
        <v>0.83724307</v>
      </c>
      <c r="L90" s="3">
        <f t="shared" si="90"/>
        <v>18.68333333</v>
      </c>
      <c r="M90" s="3">
        <f t="shared" si="90"/>
        <v>31.55</v>
      </c>
      <c r="N90" s="3">
        <f t="shared" si="90"/>
        <v>8.333333333</v>
      </c>
      <c r="O90" s="3">
        <f t="shared" si="90"/>
        <v>0.3833333333</v>
      </c>
    </row>
    <row r="91" ht="112.5" customHeight="1">
      <c r="A91" s="3" t="str">
        <f>EQ!A48</f>
        <v>73da0df025bd69a83446ff2c9628a7f2f1ff34bff9e343059e17e4d31a6218d3</v>
      </c>
      <c r="B91" s="3">
        <f t="array" ref="B91">XLOOKUP(A91, Notes!A:A, Notes!B:B, "")</f>
        <v>66.73</v>
      </c>
      <c r="C91" s="3" t="str">
        <f>IFERROR(IMAGE(VLOOKUP(A91,DriveImages!A:C,3,FALSE),4,240,520),"")</f>
        <v/>
      </c>
      <c r="D91" s="3" t="str">
        <f>IF($A91="","",IF(AND(N($G91)&lt;=Params!$D$2,N($H91)&lt;=Params!$E$2),"Peu actif",IF(AND(N($I91)&gt;=Params!$F$4,N($E91)&lt;=Params!$B$2,N($F91)&lt;=Params!$C$2),"Efficace",IF(AND(N($F91)&gt;=Params!$C$4,OR(N($I91)&lt;=Params!$F$3,N($E91)&gt;=Params!$B$4)),"Bloqué",IF(AND(OR(N($G91)&gt;=Params!$D$4,N($H91)&gt;=Params!$E$4),N($I91)&lt;=Params!$F$3),"Persévérant",IF(AND(N($J91)&gt;=Params!$G$4,OR(N($G91)&lt;=Params!$D$3,N($H91)&lt;=Params!$E$3)),"Sporadique","Intermédiaire"))))))</f>
        <v>Bloqué</v>
      </c>
      <c r="E91" s="6">
        <f t="array" ref="E91">XLOOKUP(A91, EQ!A:A, EQ!B:B, "")</f>
        <v>1</v>
      </c>
      <c r="F91" s="6">
        <f t="array" ref="F91">XLOOKUP(A91, RED!A:A, RED!B:B, "")</f>
        <v>0.92307692</v>
      </c>
      <c r="G91" s="3">
        <f t="shared" si="2"/>
        <v>13</v>
      </c>
      <c r="H91" s="3">
        <f t="shared" ref="H91:O91" si="91">XLOOKUP($A91, INDIRECT("'"&amp;H$1&amp;"'!A:A"), INDIRECT("'"&amp;H$1&amp;"'!B:B"), "")</f>
        <v>2</v>
      </c>
      <c r="I91" s="3">
        <f t="shared" si="91"/>
        <v>0</v>
      </c>
      <c r="J91" s="3">
        <f t="shared" si="91"/>
        <v>0.08333333333</v>
      </c>
      <c r="K91" s="3">
        <f t="shared" si="91"/>
        <v>0</v>
      </c>
      <c r="L91" s="3">
        <f t="shared" si="91"/>
        <v>18.75</v>
      </c>
      <c r="M91" s="3">
        <f t="shared" si="91"/>
        <v>23.41666667</v>
      </c>
      <c r="N91" s="3">
        <f t="shared" si="91"/>
        <v>16.4</v>
      </c>
      <c r="O91" s="3">
        <f t="shared" si="91"/>
        <v>60</v>
      </c>
    </row>
    <row r="92" ht="112.5" customHeight="1">
      <c r="A92" s="3" t="str">
        <f>EQ!A27</f>
        <v>438f91a3a02080977006d5b4ee2c29f6e0d0b58e848dc92712f3982a1449f481</v>
      </c>
      <c r="B92" s="3">
        <f t="array" ref="B92">XLOOKUP(A92, Notes!A:A, Notes!B:B, "")</f>
        <v>60.42</v>
      </c>
      <c r="C92" s="3" t="str">
        <f>IFERROR(IMAGE(VLOOKUP(A92,DriveImages!A:C,3,FALSE),4,240,520),"")</f>
        <v/>
      </c>
      <c r="D92" s="3" t="str">
        <f>IF($A92="","",IF(AND(N($G92)&lt;=Params!$D$2,N($H92)&lt;=Params!$E$2),"Peu actif",IF(AND(N($I92)&gt;=Params!$F$4,N($E92)&lt;=Params!$B$2,N($F92)&lt;=Params!$C$2),"Efficace",IF(AND(N($F92)&gt;=Params!$C$4,OR(N($I92)&lt;=Params!$F$3,N($E92)&gt;=Params!$B$4)),"Bloqué",IF(AND(OR(N($G92)&gt;=Params!$D$4,N($H92)&gt;=Params!$E$4),N($I92)&lt;=Params!$F$3),"Persévérant",IF(AND(N($J92)&gt;=Params!$G$4,OR(N($G92)&lt;=Params!$D$3,N($H92)&lt;=Params!$E$3)),"Sporadique","Intermédiaire"))))))</f>
        <v>Intermédiaire</v>
      </c>
      <c r="E92" s="6">
        <f t="array" ref="E92">XLOOKUP(A92, EQ!A:A, EQ!B:B, "")</f>
        <v>0</v>
      </c>
      <c r="F92" s="6">
        <f t="array" ref="F92">XLOOKUP(A92, RED!A:A, RED!B:B, "")</f>
        <v>0</v>
      </c>
      <c r="G92" s="3">
        <f t="shared" si="2"/>
        <v>6</v>
      </c>
      <c r="H92" s="3">
        <f t="shared" ref="H92:O92" si="92">XLOOKUP($A92, INDIRECT("'"&amp;H$1&amp;"'!A:A"), INDIRECT("'"&amp;H$1&amp;"'!B:B"), "")</f>
        <v>1</v>
      </c>
      <c r="I92" s="3">
        <f t="shared" si="92"/>
        <v>0.6666666667</v>
      </c>
      <c r="J92" s="3">
        <f t="shared" si="92"/>
        <v>0</v>
      </c>
      <c r="K92" s="3">
        <f t="shared" si="92"/>
        <v>0.41666667</v>
      </c>
      <c r="L92" s="3">
        <f t="shared" si="92"/>
        <v>19</v>
      </c>
      <c r="M92" s="3">
        <f t="shared" si="92"/>
        <v>8.383333333</v>
      </c>
      <c r="N92" s="3">
        <f t="shared" si="92"/>
        <v>31.18333333</v>
      </c>
      <c r="O92" s="3">
        <f t="shared" si="92"/>
        <v>4.05</v>
      </c>
    </row>
    <row r="93" ht="112.5" customHeight="1">
      <c r="A93" s="3" t="str">
        <f>EQ!A75</f>
        <v>b2739ffce4a91e9880373035f1a135a3772577ebe8a9e985482de17ccedccefd</v>
      </c>
      <c r="B93" s="3">
        <f t="array" ref="B93">XLOOKUP(A93, Notes!A:A, Notes!B:B, "")</f>
        <v>76.53</v>
      </c>
      <c r="C93" s="3" t="str">
        <f>IFERROR(IMAGE(VLOOKUP(A93,DriveImages!A:C,3,FALSE),4,240,520),"")</f>
        <v/>
      </c>
      <c r="D93" s="3" t="str">
        <f>IF($A93="","",IF(AND(N($G93)&lt;=Params!$D$2,N($H93)&lt;=Params!$E$2),"Peu actif",IF(AND(N($I93)&gt;=Params!$F$4,N($E93)&lt;=Params!$B$2,N($F93)&lt;=Params!$C$2),"Efficace",IF(AND(N($F93)&gt;=Params!$C$4,OR(N($I93)&lt;=Params!$F$3,N($E93)&gt;=Params!$B$4)),"Bloqué",IF(AND(OR(N($G93)&gt;=Params!$D$4,N($H93)&gt;=Params!$E$4),N($I93)&lt;=Params!$F$3),"Persévérant",IF(AND(N($J93)&gt;=Params!$G$4,OR(N($G93)&lt;=Params!$D$3,N($H93)&lt;=Params!$E$3)),"Sporadique","Intermédiaire"))))))</f>
        <v>Persévérant</v>
      </c>
      <c r="E93" s="6">
        <f t="array" ref="E93">XLOOKUP(A93, EQ!A:A, EQ!B:B, "")</f>
        <v>0.4285714286</v>
      </c>
      <c r="F93" s="6">
        <f t="array" ref="F93">XLOOKUP(A93, RED!A:A, RED!B:B, "")</f>
        <v>0.21428571</v>
      </c>
      <c r="G93" s="3">
        <f t="shared" si="2"/>
        <v>12</v>
      </c>
      <c r="H93" s="3">
        <f t="shared" ref="H93:O93" si="93">XLOOKUP($A93, INDIRECT("'"&amp;H$1&amp;"'!A:A"), INDIRECT("'"&amp;H$1&amp;"'!B:B"), "")</f>
        <v>4</v>
      </c>
      <c r="I93" s="3">
        <f t="shared" si="93"/>
        <v>0.5</v>
      </c>
      <c r="J93" s="3">
        <f t="shared" si="93"/>
        <v>0.2727272727</v>
      </c>
      <c r="K93" s="3">
        <f t="shared" si="93"/>
        <v>0.44543642</v>
      </c>
      <c r="L93" s="3">
        <f t="shared" si="93"/>
        <v>19.26666667</v>
      </c>
      <c r="M93" s="3">
        <f t="shared" si="93"/>
        <v>32.28333333</v>
      </c>
      <c r="N93" s="3">
        <f t="shared" si="93"/>
        <v>7.016666667</v>
      </c>
      <c r="O93" s="3">
        <f t="shared" si="93"/>
        <v>0</v>
      </c>
    </row>
    <row r="94" ht="112.5" customHeight="1">
      <c r="A94" s="3" t="str">
        <f>EQ!A18</f>
        <v>322817f4854f2f71b85db9d2e7c04e4a44c91ea866c689f277a658abc7d22b12</v>
      </c>
      <c r="B94" s="3">
        <f t="array" ref="B94">XLOOKUP(A94, Notes!A:A, Notes!B:B, "")</f>
        <v>35.44</v>
      </c>
      <c r="C94" s="3" t="str">
        <f>IFERROR(IMAGE(VLOOKUP(A94,DriveImages!A:C,3,FALSE),4,240,520),"")</f>
        <v/>
      </c>
      <c r="D94" s="3" t="str">
        <f>IF($A94="","",IF(AND(N($G94)&lt;=Params!$D$2,N($H94)&lt;=Params!$E$2),"Peu actif",IF(AND(N($I94)&gt;=Params!$F$4,N($E94)&lt;=Params!$B$2,N($F94)&lt;=Params!$C$2),"Efficace",IF(AND(N($F94)&gt;=Params!$C$4,OR(N($I94)&lt;=Params!$F$3,N($E94)&gt;=Params!$B$4)),"Bloqué",IF(AND(OR(N($G94)&gt;=Params!$D$4,N($H94)&gt;=Params!$E$4),N($I94)&lt;=Params!$F$3),"Persévérant",IF(AND(N($J94)&gt;=Params!$G$4,OR(N($G94)&lt;=Params!$D$3,N($H94)&lt;=Params!$E$3)),"Sporadique","Intermédiaire"))))))</f>
        <v>Efficace</v>
      </c>
      <c r="E94" s="6">
        <f t="array" ref="E94">XLOOKUP(A94, EQ!A:A, EQ!B:B, "")</f>
        <v>0</v>
      </c>
      <c r="F94" s="6">
        <f t="array" ref="F94">XLOOKUP(A94, RED!A:A, RED!B:B, "")</f>
        <v>0</v>
      </c>
      <c r="G94" s="3">
        <f t="shared" ref="G94:O94" si="94">XLOOKUP($A94, INDIRECT("'"&amp;G$1&amp;"'!A:A"), INDIRECT("'"&amp;G$1&amp;"'!B:B"), "")</f>
        <v>17</v>
      </c>
      <c r="H94" s="3">
        <f t="shared" si="94"/>
        <v>3</v>
      </c>
      <c r="I94" s="3">
        <f t="shared" si="94"/>
        <v>0.9411764706</v>
      </c>
      <c r="J94" s="3">
        <f t="shared" si="94"/>
        <v>0.125</v>
      </c>
      <c r="K94" s="3">
        <f t="shared" si="94"/>
        <v>0.67851659</v>
      </c>
      <c r="L94" s="3">
        <f t="shared" si="94"/>
        <v>20.71666667</v>
      </c>
      <c r="M94" s="3">
        <f t="shared" si="94"/>
        <v>20.35</v>
      </c>
      <c r="N94" s="3">
        <f t="shared" si="94"/>
        <v>17.5</v>
      </c>
      <c r="O94" s="3">
        <f t="shared" si="94"/>
        <v>3.85</v>
      </c>
    </row>
    <row r="95" ht="112.5" customHeight="1">
      <c r="A95" s="3" t="str">
        <f>EQ!A60</f>
        <v>8dd7d47134248a03ffb88fe97e5ab8501d976a5d539ff01c30727b79ede1424f</v>
      </c>
      <c r="B95" s="3">
        <f t="array" ref="B95">XLOOKUP(A95, Notes!A:A, Notes!B:B, "")</f>
        <v>30.75</v>
      </c>
      <c r="C95" s="3" t="str">
        <f>IFERROR(IMAGE(VLOOKUP(A95,DriveImages!A:C,3,FALSE),4,240,520),"")</f>
        <v/>
      </c>
      <c r="D95" s="3" t="str">
        <f>IF($A95="","",IF(AND(N($G95)&lt;=Params!$D$2,N($H95)&lt;=Params!$E$2),"Peu actif",IF(AND(N($I95)&gt;=Params!$F$4,N($E95)&lt;=Params!$B$2,N($F95)&lt;=Params!$C$2),"Efficace",IF(AND(N($F95)&gt;=Params!$C$4,OR(N($I95)&lt;=Params!$F$3,N($E95)&gt;=Params!$B$4)),"Bloqué",IF(AND(OR(N($G95)&gt;=Params!$D$4,N($H95)&gt;=Params!$E$4),N($I95)&lt;=Params!$F$3),"Persévérant",IF(AND(N($J95)&gt;=Params!$G$4,OR(N($G95)&lt;=Params!$D$3,N($H95)&lt;=Params!$E$3)),"Sporadique","Intermédiaire"))))))</f>
        <v>Bloqué</v>
      </c>
      <c r="E95" s="6">
        <f t="array" ref="E95">XLOOKUP(A95, EQ!A:A, EQ!B:B, "")</f>
        <v>0.75</v>
      </c>
      <c r="F95" s="6">
        <f t="array" ref="F95">XLOOKUP(A95, RED!A:A, RED!B:B, "")</f>
        <v>0.64444444</v>
      </c>
      <c r="G95" s="3">
        <f t="shared" ref="G95:G111" si="96">XLOOKUP(A95, INDIRECT("'"&amp;G$1&amp;"'!A:A"), INDIRECT("'"&amp;G$1&amp;"'!B:B"), "")</f>
        <v>18</v>
      </c>
      <c r="H95" s="3">
        <f t="shared" ref="H95:O95" si="95">XLOOKUP($A95, INDIRECT("'"&amp;H$1&amp;"'!A:A"), INDIRECT("'"&amp;H$1&amp;"'!B:B"), "")</f>
        <v>3</v>
      </c>
      <c r="I95" s="3">
        <f t="shared" si="95"/>
        <v>0.2222222222</v>
      </c>
      <c r="J95" s="3">
        <f t="shared" si="95"/>
        <v>0.1176470588</v>
      </c>
      <c r="K95" s="3">
        <f t="shared" si="95"/>
        <v>0.18357489</v>
      </c>
      <c r="L95" s="3">
        <f t="shared" si="95"/>
        <v>21.6</v>
      </c>
      <c r="M95" s="3">
        <f t="shared" si="95"/>
        <v>30.43333333</v>
      </c>
      <c r="N95" s="3">
        <f t="shared" si="95"/>
        <v>6.533333333</v>
      </c>
      <c r="O95" s="3">
        <f t="shared" si="95"/>
        <v>60</v>
      </c>
    </row>
    <row r="96" ht="112.5" customHeight="1">
      <c r="A96" s="3" t="str">
        <f>EQ!A25</f>
        <v>40c1d250c97702986524dae1c4014dbac4abddab4fbfd395737f4e2fe64a247d</v>
      </c>
      <c r="B96" s="3">
        <f t="array" ref="B96">XLOOKUP(A96, Notes!A:A, Notes!B:B, "")</f>
        <v>88.53</v>
      </c>
      <c r="C96" s="3" t="str">
        <f>IFERROR(IMAGE(VLOOKUP(A96,DriveImages!A:C,3,FALSE),4,240,520),"")</f>
        <v/>
      </c>
      <c r="D96" s="3" t="str">
        <f>IF($A96="","",IF(AND(N($G96)&lt;=Params!$D$2,N($H96)&lt;=Params!$E$2),"Peu actif",IF(AND(N($I96)&gt;=Params!$F$4,N($E96)&lt;=Params!$B$2,N($F96)&lt;=Params!$C$2),"Efficace",IF(AND(N($F96)&gt;=Params!$C$4,OR(N($I96)&lt;=Params!$F$3,N($E96)&gt;=Params!$B$4)),"Bloqué",IF(AND(OR(N($G96)&gt;=Params!$D$4,N($H96)&gt;=Params!$E$4),N($I96)&lt;=Params!$F$3),"Persévérant",IF(AND(N($J96)&gt;=Params!$G$4,OR(N($G96)&lt;=Params!$D$3,N($H96)&lt;=Params!$E$3)),"Sporadique","Intermédiaire"))))))</f>
        <v>Intermédiaire</v>
      </c>
      <c r="E96" s="6">
        <f t="array" ref="E96">XLOOKUP(A96, EQ!A:A, EQ!B:B, "")</f>
        <v>0.2</v>
      </c>
      <c r="F96" s="6">
        <f t="array" ref="F96">XLOOKUP(A96, RED!A:A, RED!B:B, "")</f>
        <v>0.1375</v>
      </c>
      <c r="G96" s="3">
        <f t="shared" si="96"/>
        <v>30</v>
      </c>
      <c r="H96" s="3">
        <f t="shared" ref="H96:O96" si="97">XLOOKUP($A96, INDIRECT("'"&amp;H$1&amp;"'!A:A"), INDIRECT("'"&amp;H$1&amp;"'!B:B"), "")</f>
        <v>2</v>
      </c>
      <c r="I96" s="3">
        <f t="shared" si="97"/>
        <v>0.6333333333</v>
      </c>
      <c r="J96" s="3">
        <f t="shared" si="97"/>
        <v>0.03448275862</v>
      </c>
      <c r="K96" s="3">
        <f t="shared" si="97"/>
        <v>0.561137</v>
      </c>
      <c r="L96" s="3">
        <f t="shared" si="97"/>
        <v>21.7</v>
      </c>
      <c r="M96" s="3">
        <f t="shared" si="97"/>
        <v>36.86666667</v>
      </c>
      <c r="N96" s="3">
        <f t="shared" si="97"/>
        <v>0</v>
      </c>
      <c r="O96" s="3">
        <f t="shared" si="97"/>
        <v>2.516666667</v>
      </c>
    </row>
    <row r="97" ht="112.5" customHeight="1">
      <c r="A97" s="3" t="str">
        <f>EQ!A92</f>
        <v>d46637522853433efdf1806e2e5336c312d5ba0ff0a32b80468e96b8abf11c04</v>
      </c>
      <c r="B97" s="3">
        <f t="array" ref="B97">XLOOKUP(A97, Notes!A:A, Notes!B:B, "")</f>
        <v>23.25</v>
      </c>
      <c r="C97" s="3" t="str">
        <f>IFERROR(IMAGE(VLOOKUP(A97,DriveImages!A:C,3,FALSE),4,240,520),"")</f>
        <v/>
      </c>
      <c r="D97" s="3" t="str">
        <f>IF($A97="","",IF(AND(N($G97)&lt;=Params!$D$2,N($H97)&lt;=Params!$E$2),"Peu actif",IF(AND(N($I97)&gt;=Params!$F$4,N($E97)&lt;=Params!$B$2,N($F97)&lt;=Params!$C$2),"Efficace",IF(AND(N($F97)&gt;=Params!$C$4,OR(N($I97)&lt;=Params!$F$3,N($E97)&gt;=Params!$B$4)),"Bloqué",IF(AND(OR(N($G97)&gt;=Params!$D$4,N($H97)&gt;=Params!$E$4),N($I97)&lt;=Params!$F$3),"Persévérant",IF(AND(N($J97)&gt;=Params!$G$4,OR(N($G97)&lt;=Params!$D$3,N($H97)&lt;=Params!$E$3)),"Sporadique","Intermédiaire"))))))</f>
        <v>Bloqué</v>
      </c>
      <c r="E97" s="6">
        <f t="array" ref="E97">XLOOKUP(A97, EQ!A:A, EQ!B:B, "")</f>
        <v>0.6470588235</v>
      </c>
      <c r="F97" s="6">
        <f t="array" ref="F97">XLOOKUP(A97, RED!A:A, RED!B:B, "")</f>
        <v>0.59313725</v>
      </c>
      <c r="G97" s="3">
        <f t="shared" si="96"/>
        <v>22</v>
      </c>
      <c r="H97" s="3">
        <f t="shared" ref="H97:O97" si="98">XLOOKUP($A97, INDIRECT("'"&amp;H$1&amp;"'!A:A"), INDIRECT("'"&amp;H$1&amp;"'!B:B"), "")</f>
        <v>4</v>
      </c>
      <c r="I97" s="3">
        <f t="shared" si="98"/>
        <v>0.4090909091</v>
      </c>
      <c r="J97" s="3">
        <f t="shared" si="98"/>
        <v>0.1428571429</v>
      </c>
      <c r="K97" s="3">
        <f t="shared" si="98"/>
        <v>0.344389</v>
      </c>
      <c r="L97" s="3">
        <f t="shared" si="98"/>
        <v>22.38333333</v>
      </c>
      <c r="M97" s="3">
        <f t="shared" si="98"/>
        <v>29.31666667</v>
      </c>
      <c r="N97" s="3">
        <f t="shared" si="98"/>
        <v>6.866666667</v>
      </c>
      <c r="O97" s="3">
        <f t="shared" si="98"/>
        <v>11</v>
      </c>
    </row>
    <row r="98" ht="112.5" customHeight="1">
      <c r="A98" s="3" t="str">
        <f>EQ!A77</f>
        <v>bb0c30cc3cd79a7b954b6a58338b43ab5c258562b868a12e26fa432eed432da9</v>
      </c>
      <c r="B98" s="3">
        <f t="array" ref="B98">XLOOKUP(A98, Notes!A:A, Notes!B:B, "")</f>
        <v>36.31</v>
      </c>
      <c r="C98" s="3" t="str">
        <f>IFERROR(IMAGE(VLOOKUP(A98,DriveImages!A:C,3,FALSE),4,240,520),"")</f>
        <v/>
      </c>
      <c r="D98" s="3" t="str">
        <f>IF($A98="","",IF(AND(N($G98)&lt;=Params!$D$2,N($H98)&lt;=Params!$E$2),"Peu actif",IF(AND(N($I98)&gt;=Params!$F$4,N($E98)&lt;=Params!$B$2,N($F98)&lt;=Params!$C$2),"Efficace",IF(AND(N($F98)&gt;=Params!$C$4,OR(N($I98)&lt;=Params!$F$3,N($E98)&gt;=Params!$B$4)),"Bloqué",IF(AND(OR(N($G98)&gt;=Params!$D$4,N($H98)&gt;=Params!$E$4),N($I98)&lt;=Params!$F$3),"Persévérant",IF(AND(N($J98)&gt;=Params!$G$4,OR(N($G98)&lt;=Params!$D$3,N($H98)&lt;=Params!$E$3)),"Sporadique","Intermédiaire"))))))</f>
        <v>Peu actif</v>
      </c>
      <c r="E98" s="6">
        <f t="array" ref="E98">XLOOKUP(A98, EQ!A:A, EQ!B:B, "")</f>
        <v>0.6666666667</v>
      </c>
      <c r="F98" s="6">
        <f t="array" ref="F98">XLOOKUP(A98, RED!A:A, RED!B:B, "")</f>
        <v>0.44444444</v>
      </c>
      <c r="G98" s="3">
        <f t="shared" si="96"/>
        <v>4</v>
      </c>
      <c r="H98" s="3">
        <f t="shared" ref="H98:O98" si="99">XLOOKUP($A98, INDIRECT("'"&amp;H$1&amp;"'!A:A"), INDIRECT("'"&amp;H$1&amp;"'!B:B"), "")</f>
        <v>1</v>
      </c>
      <c r="I98" s="3">
        <f t="shared" si="99"/>
        <v>0.25</v>
      </c>
      <c r="J98" s="3">
        <f t="shared" si="99"/>
        <v>0</v>
      </c>
      <c r="K98" s="3">
        <f t="shared" si="99"/>
        <v>0.19565225</v>
      </c>
      <c r="L98" s="3">
        <f t="shared" si="99"/>
        <v>23.35</v>
      </c>
      <c r="M98" s="3">
        <f t="shared" si="99"/>
        <v>4.183333333</v>
      </c>
      <c r="N98" s="3">
        <f t="shared" si="99"/>
        <v>31.03333333</v>
      </c>
      <c r="O98" s="3">
        <f t="shared" si="99"/>
        <v>60</v>
      </c>
    </row>
    <row r="99" ht="112.5" customHeight="1">
      <c r="A99" s="3" t="str">
        <f>EQ!A109</f>
        <v>fcc829e7dd1db87335c46064982f06853c8a5c39399202b284952458b04f0d5d</v>
      </c>
      <c r="B99" s="3">
        <f t="array" ref="B99">XLOOKUP(A99, Notes!A:A, Notes!B:B, "")</f>
        <v>53.91</v>
      </c>
      <c r="C99" s="3" t="str">
        <f>IFERROR(IMAGE(VLOOKUP(A99,DriveImages!A:C,3,FALSE),4,240,520),"")</f>
        <v/>
      </c>
      <c r="D99" s="3" t="str">
        <f>IF($A99="","",IF(AND(N($G99)&lt;=Params!$D$2,N($H99)&lt;=Params!$E$2),"Peu actif",IF(AND(N($I99)&gt;=Params!$F$4,N($E99)&lt;=Params!$B$2,N($F99)&lt;=Params!$C$2),"Efficace",IF(AND(N($F99)&gt;=Params!$C$4,OR(N($I99)&lt;=Params!$F$3,N($E99)&gt;=Params!$B$4)),"Bloqué",IF(AND(OR(N($G99)&gt;=Params!$D$4,N($H99)&gt;=Params!$E$4),N($I99)&lt;=Params!$F$3),"Persévérant",IF(AND(N($J99)&gt;=Params!$G$4,OR(N($G99)&lt;=Params!$D$3,N($H99)&lt;=Params!$E$3)),"Sporadique","Intermédiaire"))))))</f>
        <v>Intermédiaire</v>
      </c>
      <c r="E99" s="6">
        <f t="array" ref="E99">XLOOKUP(A99, EQ!A:A, EQ!B:B, "")</f>
        <v>0.2727272727</v>
      </c>
      <c r="F99" s="6">
        <f t="array" ref="F99">XLOOKUP(A99, RED!A:A, RED!B:B, "")</f>
        <v>0.16666667</v>
      </c>
      <c r="G99" s="3">
        <f t="shared" si="96"/>
        <v>13</v>
      </c>
      <c r="H99" s="3">
        <f t="shared" ref="H99:O99" si="100">XLOOKUP($A99, INDIRECT("'"&amp;H$1&amp;"'!A:A"), INDIRECT("'"&amp;H$1&amp;"'!B:B"), "")</f>
        <v>3</v>
      </c>
      <c r="I99" s="3">
        <f t="shared" si="100"/>
        <v>0.6153846154</v>
      </c>
      <c r="J99" s="3">
        <f t="shared" si="100"/>
        <v>0.1666666667</v>
      </c>
      <c r="K99" s="3">
        <f t="shared" si="100"/>
        <v>0.46703292</v>
      </c>
      <c r="L99" s="3">
        <f t="shared" si="100"/>
        <v>23.6</v>
      </c>
      <c r="M99" s="3">
        <f t="shared" si="100"/>
        <v>22.66666667</v>
      </c>
      <c r="N99" s="3">
        <f t="shared" si="100"/>
        <v>12.3</v>
      </c>
      <c r="O99" s="3">
        <f t="shared" si="100"/>
        <v>1.4</v>
      </c>
    </row>
    <row r="100" ht="112.5" customHeight="1">
      <c r="A100" s="3" t="str">
        <f>EQ!A46</f>
        <v>7018f9f84b61c5801779302689a34fef5b2e9d95f52479d9ef486efda2e55c21</v>
      </c>
      <c r="B100" s="3">
        <f t="array" ref="B100">XLOOKUP(A100, Notes!A:A, Notes!B:B, "")</f>
        <v>59</v>
      </c>
      <c r="C100" s="3" t="str">
        <f>IFERROR(IMAGE(VLOOKUP(A100,DriveImages!A:C,3,FALSE),4,240,520),"")</f>
        <v/>
      </c>
      <c r="D100" s="3" t="str">
        <f>IF($A100="","",IF(AND(N($G100)&lt;=Params!$D$2,N($H100)&lt;=Params!$E$2),"Peu actif",IF(AND(N($I100)&gt;=Params!$F$4,N($E100)&lt;=Params!$B$2,N($F100)&lt;=Params!$C$2),"Efficace",IF(AND(N($F100)&gt;=Params!$C$4,OR(N($I100)&lt;=Params!$F$3,N($E100)&gt;=Params!$B$4)),"Bloqué",IF(AND(OR(N($G100)&gt;=Params!$D$4,N($H100)&gt;=Params!$E$4),N($I100)&lt;=Params!$F$3),"Persévérant",IF(AND(N($J100)&gt;=Params!$G$4,OR(N($G100)&lt;=Params!$D$3,N($H100)&lt;=Params!$E$3)),"Sporadique","Intermédiaire"))))))</f>
        <v>Bloqué</v>
      </c>
      <c r="E100" s="6">
        <f t="array" ref="E100">XLOOKUP(A100, EQ!A:A, EQ!B:B, "")</f>
        <v>0.875</v>
      </c>
      <c r="F100" s="6">
        <f t="array" ref="F100">XLOOKUP(A100, RED!A:A, RED!B:B, "")</f>
        <v>0.765625</v>
      </c>
      <c r="G100" s="3">
        <f t="shared" si="96"/>
        <v>9</v>
      </c>
      <c r="H100" s="3">
        <f t="shared" ref="H100:O100" si="101">XLOOKUP($A100, INDIRECT("'"&amp;H$1&amp;"'!A:A"), INDIRECT("'"&amp;H$1&amp;"'!B:B"), "")</f>
        <v>1</v>
      </c>
      <c r="I100" s="3">
        <f t="shared" si="101"/>
        <v>0.1111111111</v>
      </c>
      <c r="J100" s="3">
        <f t="shared" si="101"/>
        <v>0</v>
      </c>
      <c r="K100" s="3">
        <f t="shared" si="101"/>
        <v>0.11111111</v>
      </c>
      <c r="L100" s="3">
        <f t="shared" si="101"/>
        <v>27.71666667</v>
      </c>
      <c r="M100" s="3">
        <f t="shared" si="101"/>
        <v>4.133333333</v>
      </c>
      <c r="N100" s="3">
        <f t="shared" si="101"/>
        <v>26.71666667</v>
      </c>
      <c r="O100" s="3">
        <f t="shared" si="101"/>
        <v>4.133333333</v>
      </c>
    </row>
    <row r="101" ht="112.5" customHeight="1">
      <c r="A101" s="3" t="str">
        <f>EQ!A56</f>
        <v>86d73054aa9c80dbfbfce326489454f67087052ce0720f75ec87b849d851ce2b</v>
      </c>
      <c r="B101" s="3">
        <f t="array" ref="B101">XLOOKUP(A101, Notes!A:A, Notes!B:B, "")</f>
        <v>47.78</v>
      </c>
      <c r="C101" s="3" t="str">
        <f>IFERROR(IMAGE(VLOOKUP(A101,DriveImages!A:C,3,FALSE),4,240,520),"")</f>
        <v/>
      </c>
      <c r="D101" s="3" t="str">
        <f>IF($A101="","",IF(AND(N($G101)&lt;=Params!$D$2,N($H101)&lt;=Params!$E$2),"Peu actif",IF(AND(N($I101)&gt;=Params!$F$4,N($E101)&lt;=Params!$B$2,N($F101)&lt;=Params!$C$2),"Efficace",IF(AND(N($F101)&gt;=Params!$C$4,OR(N($I101)&lt;=Params!$F$3,N($E101)&gt;=Params!$B$4)),"Bloqué",IF(AND(OR(N($G101)&gt;=Params!$D$4,N($H101)&gt;=Params!$E$4),N($I101)&lt;=Params!$F$3),"Persévérant",IF(AND(N($J101)&gt;=Params!$G$4,OR(N($G101)&lt;=Params!$D$3,N($H101)&lt;=Params!$E$3)),"Sporadique","Intermédiaire"))))))</f>
        <v>Sporadique</v>
      </c>
      <c r="E101" s="6">
        <f t="array" ref="E101">XLOOKUP(A101, EQ!A:A, EQ!B:B, "")</f>
        <v>0.5714285714</v>
      </c>
      <c r="F101" s="6">
        <f t="array" ref="F101">XLOOKUP(A101, RED!A:A, RED!B:B, "")</f>
        <v>0.45714286</v>
      </c>
      <c r="G101" s="3">
        <f t="shared" si="96"/>
        <v>8</v>
      </c>
      <c r="H101" s="3">
        <f t="shared" ref="H101:O101" si="102">XLOOKUP($A101, INDIRECT("'"&amp;H$1&amp;"'!A:A"), INDIRECT("'"&amp;H$1&amp;"'!B:B"), "")</f>
        <v>2</v>
      </c>
      <c r="I101" s="3">
        <f t="shared" si="102"/>
        <v>0.25</v>
      </c>
      <c r="J101" s="3">
        <f t="shared" si="102"/>
        <v>0.1428571429</v>
      </c>
      <c r="K101" s="3">
        <f t="shared" si="102"/>
        <v>0.11607138</v>
      </c>
      <c r="L101" s="3">
        <f t="shared" si="102"/>
        <v>28.63333333</v>
      </c>
      <c r="M101" s="3">
        <f t="shared" si="102"/>
        <v>20.8</v>
      </c>
      <c r="N101" s="3">
        <f t="shared" si="102"/>
        <v>9.133333333</v>
      </c>
      <c r="O101" s="3">
        <f t="shared" si="102"/>
        <v>60</v>
      </c>
    </row>
    <row r="102" ht="112.5" customHeight="1">
      <c r="A102" s="3" t="str">
        <f>EQ!A54</f>
        <v>8535ef1089f557f019e2fa787114fa1819dadf2106ea8f0b82f86e57f914ea2d</v>
      </c>
      <c r="B102" s="3">
        <f t="array" ref="B102">XLOOKUP(A102, Notes!A:A, Notes!B:B, "")</f>
        <v>43.25</v>
      </c>
      <c r="C102" s="3" t="str">
        <f>IFERROR(IMAGE(VLOOKUP(A102,DriveImages!A:C,3,FALSE),4,240,520),"")</f>
        <v/>
      </c>
      <c r="D102" s="3" t="str">
        <f>IF($A102="","",IF(AND(N($G102)&lt;=Params!$D$2,N($H102)&lt;=Params!$E$2),"Peu actif",IF(AND(N($I102)&gt;=Params!$F$4,N($E102)&lt;=Params!$B$2,N($F102)&lt;=Params!$C$2),"Efficace",IF(AND(N($F102)&gt;=Params!$C$4,OR(N($I102)&lt;=Params!$F$3,N($E102)&gt;=Params!$B$4)),"Bloqué",IF(AND(OR(N($G102)&gt;=Params!$D$4,N($H102)&gt;=Params!$E$4),N($I102)&lt;=Params!$F$3),"Persévérant",IF(AND(N($J102)&gt;=Params!$G$4,OR(N($G102)&lt;=Params!$D$3,N($H102)&lt;=Params!$E$3)),"Sporadique","Intermédiaire"))))))</f>
        <v>Intermédiaire</v>
      </c>
      <c r="E102" s="6">
        <f t="array" ref="E102">XLOOKUP(A102, EQ!A:A, EQ!B:B, "")</f>
        <v>0.5</v>
      </c>
      <c r="F102" s="6">
        <f t="array" ref="F102">XLOOKUP(A102, RED!A:A, RED!B:B, "")</f>
        <v>0.4</v>
      </c>
      <c r="G102" s="3">
        <f t="shared" si="96"/>
        <v>10</v>
      </c>
      <c r="H102" s="3">
        <f t="shared" ref="H102:O102" si="103">XLOOKUP($A102, INDIRECT("'"&amp;H$1&amp;"'!A:A"), INDIRECT("'"&amp;H$1&amp;"'!B:B"), "")</f>
        <v>2</v>
      </c>
      <c r="I102" s="3">
        <f t="shared" si="103"/>
        <v>0.3</v>
      </c>
      <c r="J102" s="3">
        <f t="shared" si="103"/>
        <v>0.1111111111</v>
      </c>
      <c r="K102" s="3">
        <f t="shared" si="103"/>
        <v>0.2047619</v>
      </c>
      <c r="L102" s="3">
        <f t="shared" si="103"/>
        <v>29.51666667</v>
      </c>
      <c r="M102" s="3">
        <f t="shared" si="103"/>
        <v>14.95</v>
      </c>
      <c r="N102" s="3">
        <f t="shared" si="103"/>
        <v>14.1</v>
      </c>
      <c r="O102" s="3">
        <f t="shared" si="103"/>
        <v>2.083333333</v>
      </c>
    </row>
    <row r="103" ht="112.5" customHeight="1">
      <c r="A103" s="3" t="str">
        <f>EQ!A23</f>
        <v>3d85bc081b5cbae4e23792cd67c1c0fd9af811e86418a20d777c3fbe812ba910</v>
      </c>
      <c r="B103" s="3">
        <f t="array" ref="B103">XLOOKUP(A103, Notes!A:A, Notes!B:B, "")</f>
        <v>50.06</v>
      </c>
      <c r="C103" s="3" t="str">
        <f>IFERROR(IMAGE(VLOOKUP(A103,DriveImages!A:C,3,FALSE),4,240,520),"")</f>
        <v/>
      </c>
      <c r="D103" s="3" t="str">
        <f>IF($A103="","",IF(AND(N($G103)&lt;=Params!$D$2,N($H103)&lt;=Params!$E$2),"Peu actif",IF(AND(N($I103)&gt;=Params!$F$4,N($E103)&lt;=Params!$B$2,N($F103)&lt;=Params!$C$2),"Efficace",IF(AND(N($F103)&gt;=Params!$C$4,OR(N($I103)&lt;=Params!$F$3,N($E103)&gt;=Params!$B$4)),"Bloqué",IF(AND(OR(N($G103)&gt;=Params!$D$4,N($H103)&gt;=Params!$E$4),N($I103)&lt;=Params!$F$3),"Persévérant",IF(AND(N($J103)&gt;=Params!$G$4,OR(N($G103)&lt;=Params!$D$3,N($H103)&lt;=Params!$E$3)),"Sporadique","Intermédiaire"))))))</f>
        <v>Efficace</v>
      </c>
      <c r="E103" s="6">
        <f t="array" ref="E103">XLOOKUP(A103, EQ!A:A, EQ!B:B, "")</f>
        <v>0</v>
      </c>
      <c r="F103" s="6">
        <f t="array" ref="F103">XLOOKUP(A103, RED!A:A, RED!B:B, "")</f>
        <v>0</v>
      </c>
      <c r="G103" s="3">
        <f t="shared" si="96"/>
        <v>5</v>
      </c>
      <c r="H103" s="3">
        <f t="shared" ref="H103:O103" si="104">XLOOKUP($A103, INDIRECT("'"&amp;H$1&amp;"'!A:A"), INDIRECT("'"&amp;H$1&amp;"'!B:B"), "")</f>
        <v>2</v>
      </c>
      <c r="I103" s="3">
        <f t="shared" si="104"/>
        <v>1</v>
      </c>
      <c r="J103" s="3">
        <f t="shared" si="104"/>
        <v>0.25</v>
      </c>
      <c r="K103" s="3">
        <f t="shared" si="104"/>
        <v>0.7545456</v>
      </c>
      <c r="L103" s="3">
        <f t="shared" si="104"/>
        <v>31.25</v>
      </c>
      <c r="M103" s="3">
        <f t="shared" si="104"/>
        <v>12.63333333</v>
      </c>
      <c r="N103" s="3">
        <f t="shared" si="104"/>
        <v>14.68333333</v>
      </c>
      <c r="O103" s="3">
        <f t="shared" si="104"/>
        <v>12.63333333</v>
      </c>
    </row>
    <row r="104" ht="112.5" customHeight="1">
      <c r="A104" s="3" t="str">
        <f>EQ!A69</f>
        <v>a1a57315af0421443e73ff39f4cc4afaabfb05e5c435fafd3504fd91ab223453</v>
      </c>
      <c r="B104" s="3">
        <f t="array" ref="B104">XLOOKUP(A104, Notes!A:A, Notes!B:B, "")</f>
        <v>46.5</v>
      </c>
      <c r="C104" s="3" t="str">
        <f>IFERROR(IMAGE(VLOOKUP(A104,DriveImages!A:C,3,FALSE),4,240,520),"")</f>
        <v/>
      </c>
      <c r="D104" s="3" t="str">
        <f>IF($A104="","",IF(AND(N($G104)&lt;=Params!$D$2,N($H104)&lt;=Params!$E$2),"Peu actif",IF(AND(N($I104)&gt;=Params!$F$4,N($E104)&lt;=Params!$B$2,N($F104)&lt;=Params!$C$2),"Efficace",IF(AND(N($F104)&gt;=Params!$C$4,OR(N($I104)&lt;=Params!$F$3,N($E104)&gt;=Params!$B$4)),"Bloqué",IF(AND(OR(N($G104)&gt;=Params!$D$4,N($H104)&gt;=Params!$E$4),N($I104)&lt;=Params!$F$3),"Persévérant",IF(AND(N($J104)&gt;=Params!$G$4,OR(N($G104)&lt;=Params!$D$3,N($H104)&lt;=Params!$E$3)),"Sporadique","Intermédiaire"))))))</f>
        <v>Bloqué</v>
      </c>
      <c r="E104" s="6">
        <f t="array" ref="E104">XLOOKUP(A104, EQ!A:A, EQ!B:B, "")</f>
        <v>1</v>
      </c>
      <c r="F104" s="6">
        <f t="array" ref="F104">XLOOKUP(A104, RED!A:A, RED!B:B, "")</f>
        <v>0.85714286</v>
      </c>
      <c r="G104" s="3">
        <f t="shared" si="96"/>
        <v>7</v>
      </c>
      <c r="H104" s="3">
        <f t="shared" ref="H104:O104" si="105">XLOOKUP($A104, INDIRECT("'"&amp;H$1&amp;"'!A:A"), INDIRECT("'"&amp;H$1&amp;"'!B:B"), "")</f>
        <v>1</v>
      </c>
      <c r="I104" s="3">
        <f t="shared" si="105"/>
        <v>0</v>
      </c>
      <c r="J104" s="3">
        <f t="shared" si="105"/>
        <v>0</v>
      </c>
      <c r="K104" s="3">
        <f t="shared" si="105"/>
        <v>0</v>
      </c>
      <c r="L104" s="3">
        <f t="shared" si="105"/>
        <v>31.26666667</v>
      </c>
      <c r="M104" s="3">
        <f t="shared" si="105"/>
        <v>4.033333333</v>
      </c>
      <c r="N104" s="3">
        <f t="shared" si="105"/>
        <v>23.26666667</v>
      </c>
      <c r="O104" s="3">
        <f t="shared" si="105"/>
        <v>60</v>
      </c>
    </row>
    <row r="105" ht="112.5" customHeight="1">
      <c r="A105" s="3" t="str">
        <f>EQ!A74</f>
        <v>aff3f9448ca917cc6f9b0fa8f92a2dadcee4f890337259421ce866e71ff22c49</v>
      </c>
      <c r="B105" s="3">
        <f t="array" ref="B105">XLOOKUP(A105, Notes!A:A, Notes!B:B, "")</f>
        <v>76.45</v>
      </c>
      <c r="C105" s="3" t="str">
        <f>IFERROR(IMAGE(VLOOKUP(A105,DriveImages!A:C,3,FALSE),4,240,520),"")</f>
        <v/>
      </c>
      <c r="D105" s="3" t="str">
        <f>IF($A105="","",IF(AND(N($G105)&lt;=Params!$D$2,N($H105)&lt;=Params!$E$2),"Peu actif",IF(AND(N($I105)&gt;=Params!$F$4,N($E105)&lt;=Params!$B$2,N($F105)&lt;=Params!$C$2),"Efficace",IF(AND(N($F105)&gt;=Params!$C$4,OR(N($I105)&lt;=Params!$F$3,N($E105)&gt;=Params!$B$4)),"Bloqué",IF(AND(OR(N($G105)&gt;=Params!$D$4,N($H105)&gt;=Params!$E$4),N($I105)&lt;=Params!$F$3),"Persévérant",IF(AND(N($J105)&gt;=Params!$G$4,OR(N($G105)&lt;=Params!$D$3,N($H105)&lt;=Params!$E$3)),"Sporadique","Intermédiaire"))))))</f>
        <v>Intermédiaire</v>
      </c>
      <c r="E105" s="6">
        <f t="array" ref="E105">XLOOKUP(A105, EQ!A:A, EQ!B:B, "")</f>
        <v>0.625</v>
      </c>
      <c r="F105" s="6">
        <f t="array" ref="F105">XLOOKUP(A105, RED!A:A, RED!B:B, "")</f>
        <v>0.52083333</v>
      </c>
      <c r="G105" s="3">
        <f t="shared" si="96"/>
        <v>11</v>
      </c>
      <c r="H105" s="3">
        <f t="shared" ref="H105:O105" si="106">XLOOKUP($A105, INDIRECT("'"&amp;H$1&amp;"'!A:A"), INDIRECT("'"&amp;H$1&amp;"'!B:B"), "")</f>
        <v>2</v>
      </c>
      <c r="I105" s="3">
        <f t="shared" si="106"/>
        <v>0.3636363636</v>
      </c>
      <c r="J105" s="3">
        <f t="shared" si="106"/>
        <v>0.1</v>
      </c>
      <c r="K105" s="3">
        <f t="shared" si="106"/>
        <v>0.33766236</v>
      </c>
      <c r="L105" s="3">
        <f t="shared" si="106"/>
        <v>31.65</v>
      </c>
      <c r="M105" s="3">
        <f t="shared" si="106"/>
        <v>15.5</v>
      </c>
      <c r="N105" s="3">
        <f t="shared" si="106"/>
        <v>11.41666667</v>
      </c>
      <c r="O105" s="3">
        <f t="shared" si="106"/>
        <v>3.683333333</v>
      </c>
    </row>
    <row r="106" ht="112.5" customHeight="1">
      <c r="A106" s="3" t="str">
        <f>EQ!A52</f>
        <v>78cb6709ef3e4aa9ec5148bce49e841e9a6257b64dff512fdffde18f1e1fcd14</v>
      </c>
      <c r="B106" s="3">
        <f t="array" ref="B106">XLOOKUP(A106, Notes!A:A, Notes!B:B, "")</f>
        <v>50.77</v>
      </c>
      <c r="C106" s="3" t="str">
        <f>IFERROR(IMAGE(VLOOKUP(A106,DriveImages!A:C,3,FALSE),4,240,520),"")</f>
        <v/>
      </c>
      <c r="D106" s="3" t="str">
        <f>IF($A106="","",IF(AND(N($G106)&lt;=Params!$D$2,N($H106)&lt;=Params!$E$2),"Peu actif",IF(AND(N($I106)&gt;=Params!$F$4,N($E106)&lt;=Params!$B$2,N($F106)&lt;=Params!$C$2),"Efficace",IF(AND(N($F106)&gt;=Params!$C$4,OR(N($I106)&lt;=Params!$F$3,N($E106)&gt;=Params!$B$4)),"Bloqué",IF(AND(OR(N($G106)&gt;=Params!$D$4,N($H106)&gt;=Params!$E$4),N($I106)&lt;=Params!$F$3),"Persévérant",IF(AND(N($J106)&gt;=Params!$G$4,OR(N($G106)&lt;=Params!$D$3,N($H106)&lt;=Params!$E$3)),"Sporadique","Intermédiaire"))))))</f>
        <v>Bloqué</v>
      </c>
      <c r="E106" s="6">
        <f t="array" ref="E106">XLOOKUP(A106, EQ!A:A, EQ!B:B, "")</f>
        <v>0.7692307692</v>
      </c>
      <c r="F106" s="6">
        <f t="array" ref="F106">XLOOKUP(A106, RED!A:A, RED!B:B, "")</f>
        <v>0.6993007</v>
      </c>
      <c r="G106" s="3">
        <f t="shared" si="96"/>
        <v>14</v>
      </c>
      <c r="H106" s="3">
        <f t="shared" ref="H106:O106" si="107">XLOOKUP($A106, INDIRECT("'"&amp;H$1&amp;"'!A:A"), INDIRECT("'"&amp;H$1&amp;"'!B:B"), "")</f>
        <v>1</v>
      </c>
      <c r="I106" s="3">
        <f t="shared" si="107"/>
        <v>0.2142857143</v>
      </c>
      <c r="J106" s="3">
        <f t="shared" si="107"/>
        <v>0</v>
      </c>
      <c r="K106" s="3">
        <f t="shared" si="107"/>
        <v>0.189441</v>
      </c>
      <c r="L106" s="3">
        <f t="shared" si="107"/>
        <v>32.58333333</v>
      </c>
      <c r="M106" s="3">
        <f t="shared" si="107"/>
        <v>17.81666667</v>
      </c>
      <c r="N106" s="3">
        <f t="shared" si="107"/>
        <v>8.166666667</v>
      </c>
      <c r="O106" s="3">
        <f t="shared" si="107"/>
        <v>17.81666667</v>
      </c>
    </row>
    <row r="107" ht="112.5" customHeight="1">
      <c r="A107" s="3" t="str">
        <f>EQ!A33</f>
        <v>519b74a02a32927ee8af772a01038d36736eb2aaeb604f8a15719710d72ccc04</v>
      </c>
      <c r="B107" s="3">
        <f t="array" ref="B107">XLOOKUP(A107, Notes!A:A, Notes!B:B, "")</f>
        <v>68.97</v>
      </c>
      <c r="C107" s="3" t="str">
        <f>IFERROR(IMAGE(VLOOKUP(A107,DriveImages!A:C,3,FALSE),4,240,520),"")</f>
        <v/>
      </c>
      <c r="D107" s="3" t="str">
        <f>IF($A107="","",IF(AND(N($G107)&lt;=Params!$D$2,N($H107)&lt;=Params!$E$2),"Peu actif",IF(AND(N($I107)&gt;=Params!$F$4,N($E107)&lt;=Params!$B$2,N($F107)&lt;=Params!$C$2),"Efficace",IF(AND(N($F107)&gt;=Params!$C$4,OR(N($I107)&lt;=Params!$F$3,N($E107)&gt;=Params!$B$4)),"Bloqué",IF(AND(OR(N($G107)&gt;=Params!$D$4,N($H107)&gt;=Params!$E$4),N($I107)&lt;=Params!$F$3),"Persévérant",IF(AND(N($J107)&gt;=Params!$G$4,OR(N($G107)&lt;=Params!$D$3,N($H107)&lt;=Params!$E$3)),"Sporadique","Intermédiaire"))))))</f>
        <v>Bloqué</v>
      </c>
      <c r="E107" s="6">
        <f t="array" ref="E107">XLOOKUP(A107, EQ!A:A, EQ!B:B, "")</f>
        <v>0.8235294118</v>
      </c>
      <c r="F107" s="6">
        <f t="array" ref="F107">XLOOKUP(A107, RED!A:A, RED!B:B, "")</f>
        <v>0.72299465</v>
      </c>
      <c r="G107" s="3">
        <f t="shared" si="96"/>
        <v>20</v>
      </c>
      <c r="H107" s="3">
        <f t="shared" ref="H107:O107" si="108">XLOOKUP($A107, INDIRECT("'"&amp;H$1&amp;"'!A:A"), INDIRECT("'"&amp;H$1&amp;"'!B:B"), "")</f>
        <v>1</v>
      </c>
      <c r="I107" s="3">
        <f t="shared" si="108"/>
        <v>0.15</v>
      </c>
      <c r="J107" s="3">
        <f t="shared" si="108"/>
        <v>0</v>
      </c>
      <c r="K107" s="3">
        <f t="shared" si="108"/>
        <v>0.14347825</v>
      </c>
      <c r="L107" s="3">
        <f t="shared" si="108"/>
        <v>32.66666667</v>
      </c>
      <c r="M107" s="3">
        <f t="shared" si="108"/>
        <v>19.31666667</v>
      </c>
      <c r="N107" s="3">
        <f t="shared" si="108"/>
        <v>6.583333333</v>
      </c>
      <c r="O107" s="3">
        <f t="shared" si="108"/>
        <v>7.233333333</v>
      </c>
    </row>
    <row r="108" ht="112.5" customHeight="1">
      <c r="A108" s="3" t="str">
        <f>EQ!A42</f>
        <v>6b689d246c11ea35bf66a151aa4d7d83d1e1b11f9f3a3876c5d609048ea310f8</v>
      </c>
      <c r="B108" s="3">
        <f t="array" ref="B108">XLOOKUP(A108, Notes!A:A, Notes!B:B, "")</f>
        <v>39.42</v>
      </c>
      <c r="C108" s="3" t="str">
        <f>IFERROR(IMAGE(VLOOKUP(A108,DriveImages!A:C,3,FALSE),4,240,520),"")</f>
        <v/>
      </c>
      <c r="D108" s="3" t="str">
        <f>IF($A108="","",IF(AND(N($G108)&lt;=Params!$D$2,N($H108)&lt;=Params!$E$2),"Peu actif",IF(AND(N($I108)&gt;=Params!$F$4,N($E108)&lt;=Params!$B$2,N($F108)&lt;=Params!$C$2),"Efficace",IF(AND(N($F108)&gt;=Params!$C$4,OR(N($I108)&lt;=Params!$F$3,N($E108)&gt;=Params!$B$4)),"Bloqué",IF(AND(OR(N($G108)&gt;=Params!$D$4,N($H108)&gt;=Params!$E$4),N($I108)&lt;=Params!$F$3),"Persévérant",IF(AND(N($J108)&gt;=Params!$G$4,OR(N($G108)&lt;=Params!$D$3,N($H108)&lt;=Params!$E$3)),"Sporadique","Intermédiaire"))))))</f>
        <v>Intermédiaire</v>
      </c>
      <c r="E108" s="6">
        <f t="array" ref="E108">XLOOKUP(A108, EQ!A:A, EQ!B:B, "")</f>
        <v>0.25</v>
      </c>
      <c r="F108" s="6">
        <f t="array" ref="F108">XLOOKUP(A108, RED!A:A, RED!B:B, "")</f>
        <v>0.125</v>
      </c>
      <c r="G108" s="3">
        <f t="shared" si="96"/>
        <v>11</v>
      </c>
      <c r="H108" s="3">
        <f t="shared" ref="H108:O108" si="109">XLOOKUP($A108, INDIRECT("'"&amp;H$1&amp;"'!A:A"), INDIRECT("'"&amp;H$1&amp;"'!B:B"), "")</f>
        <v>2</v>
      </c>
      <c r="I108" s="3">
        <f t="shared" si="109"/>
        <v>0.5454545455</v>
      </c>
      <c r="J108" s="3">
        <f t="shared" si="109"/>
        <v>0.1</v>
      </c>
      <c r="K108" s="3">
        <f t="shared" si="109"/>
        <v>0.40909091</v>
      </c>
      <c r="L108" s="3">
        <f t="shared" si="109"/>
        <v>33.68333333</v>
      </c>
      <c r="M108" s="3">
        <f t="shared" si="109"/>
        <v>19.23333333</v>
      </c>
      <c r="N108" s="3">
        <f t="shared" si="109"/>
        <v>5.65</v>
      </c>
      <c r="O108" s="3">
        <f t="shared" si="109"/>
        <v>2.766666667</v>
      </c>
    </row>
    <row r="109" ht="112.5" customHeight="1">
      <c r="A109" s="3" t="str">
        <f>EQ!A11</f>
        <v>155464e7a35faffd6b3b4f2e6b757098204e8a24221641b58ee8156acfd2e1fc</v>
      </c>
      <c r="B109" s="3">
        <f t="array" ref="B109">XLOOKUP(A109, Notes!A:A, Notes!B:B, "")</f>
        <v>77.78</v>
      </c>
      <c r="C109" s="3" t="str">
        <f>IFERROR(IMAGE(VLOOKUP(A109,DriveImages!A:C,3,FALSE),4,240,520),"")</f>
        <v/>
      </c>
      <c r="D109" s="3" t="str">
        <f>IF($A109="","",IF(AND(N($G109)&lt;=Params!$D$2,N($H109)&lt;=Params!$E$2),"Peu actif",IF(AND(N($I109)&gt;=Params!$F$4,N($E109)&lt;=Params!$B$2,N($F109)&lt;=Params!$C$2),"Efficace",IF(AND(N($F109)&gt;=Params!$C$4,OR(N($I109)&lt;=Params!$F$3,N($E109)&gt;=Params!$B$4)),"Bloqué",IF(AND(OR(N($G109)&gt;=Params!$D$4,N($H109)&gt;=Params!$E$4),N($I109)&lt;=Params!$F$3),"Persévérant",IF(AND(N($J109)&gt;=Params!$G$4,OR(N($G109)&lt;=Params!$D$3,N($H109)&lt;=Params!$E$3)),"Sporadique","Intermédiaire"))))))</f>
        <v>Intermédiaire</v>
      </c>
      <c r="E109" s="6">
        <f t="array" ref="E109">XLOOKUP(A109, EQ!A:A, EQ!B:B, "")</f>
        <v>0.25</v>
      </c>
      <c r="F109" s="6">
        <f t="array" ref="F109">XLOOKUP(A109, RED!A:A, RED!B:B, "")</f>
        <v>0.16666667</v>
      </c>
      <c r="G109" s="3">
        <f t="shared" si="96"/>
        <v>10</v>
      </c>
      <c r="H109" s="3">
        <f t="shared" ref="H109:O109" si="110">XLOOKUP($A109, INDIRECT("'"&amp;H$1&amp;"'!A:A"), INDIRECT("'"&amp;H$1&amp;"'!B:B"), "")</f>
        <v>1</v>
      </c>
      <c r="I109" s="3">
        <f t="shared" si="110"/>
        <v>0.6</v>
      </c>
      <c r="J109" s="3">
        <f t="shared" si="110"/>
        <v>0</v>
      </c>
      <c r="K109" s="3">
        <f t="shared" si="110"/>
        <v>0.5251552</v>
      </c>
      <c r="L109" s="3">
        <f t="shared" si="110"/>
        <v>35.75</v>
      </c>
      <c r="M109" s="3">
        <f t="shared" si="110"/>
        <v>13.98333333</v>
      </c>
      <c r="N109" s="3">
        <f t="shared" si="110"/>
        <v>8.833333333</v>
      </c>
      <c r="O109" s="3">
        <f t="shared" si="110"/>
        <v>6</v>
      </c>
    </row>
    <row r="110" ht="112.5" customHeight="1">
      <c r="A110" s="3" t="str">
        <f>EQ!A68</f>
        <v>a1437f4d7c5982c950cc3bb1cfab162aa1470eb7263b45d865b404015088558b</v>
      </c>
      <c r="B110" s="3">
        <f t="array" ref="B110">XLOOKUP(A110, Notes!A:A, Notes!B:B, "")</f>
        <v>61.91</v>
      </c>
      <c r="C110" s="3" t="str">
        <f>IFERROR(IMAGE(VLOOKUP(A110,DriveImages!A:C,3,FALSE),4,240,520),"")</f>
        <v/>
      </c>
      <c r="D110" s="3" t="str">
        <f>IF($A110="","",IF(AND(N($G110)&lt;=Params!$D$2,N($H110)&lt;=Params!$E$2),"Peu actif",
IF(AND(N($I110)&gt;=Params!$F$4,N($E110)&lt;=Params!$B$2,N($F110)&lt;=Params!$C$2),"Efficace",
IF(AND(N($F110)&gt;=Params!$C$4,OR(N($I110)&lt;=Params!$F$3,N($E110)&gt;=Params!$B$4)),"Bloqué",
IF(AND(OR(N($G110)&gt;=Params!$D$4,N($H110)&gt;=Params!$E$4),N($I110)&lt;=Params!$F$3),"Persévérant",
IF(AND(N($J110)&gt;=Params!$G$4,OR(N($G110)&lt;=Params!$D$3,N($H110)&lt;=Params!$E$3)),"Sporadique",
"Intermédiaire"))))))</f>
        <v>Efficace</v>
      </c>
      <c r="E110" s="6">
        <f t="array" ref="E110">XLOOKUP(A110, EQ!A:A, EQ!B:B, "")</f>
        <v>0</v>
      </c>
      <c r="F110" s="6">
        <f t="array" ref="F110">XLOOKUP(A110, RED!A:A, RED!B:B, "")</f>
        <v>0</v>
      </c>
      <c r="G110" s="3">
        <f t="shared" si="96"/>
        <v>4</v>
      </c>
      <c r="H110" s="3">
        <f t="shared" ref="H110:O110" si="111">XLOOKUP($A110, INDIRECT("'"&amp;H$1&amp;"'!A:A"), INDIRECT("'"&amp;H$1&amp;"'!B:B"), "")</f>
        <v>2</v>
      </c>
      <c r="I110" s="3">
        <f t="shared" si="111"/>
        <v>0.75</v>
      </c>
      <c r="J110" s="3">
        <f t="shared" si="111"/>
        <v>0.3333333333</v>
      </c>
      <c r="K110" s="3">
        <f t="shared" si="111"/>
        <v>0.43181825</v>
      </c>
      <c r="L110" s="3">
        <f t="shared" si="111"/>
        <v>39.51666667</v>
      </c>
      <c r="M110" s="3">
        <f t="shared" si="111"/>
        <v>12.6</v>
      </c>
      <c r="N110" s="3">
        <f t="shared" si="111"/>
        <v>6.45</v>
      </c>
      <c r="O110" s="3">
        <f t="shared" si="111"/>
        <v>2.283333333</v>
      </c>
    </row>
    <row r="111" ht="112.5" customHeight="1">
      <c r="A111" s="3" t="str">
        <f>EQ!A26</f>
        <v>4225b96eae6636e51ed4b87746263b9e5d0e927d67326324fbf1544230fa6fb8</v>
      </c>
      <c r="B111" s="3">
        <f t="array" ref="B111">XLOOKUP(A111, Notes!A:A, Notes!B:B, "")</f>
        <v>36.71</v>
      </c>
      <c r="C111" s="3" t="str">
        <f>IFERROR(IMAGE(VLOOKUP(A111,DriveImages!A:C,3,FALSE),4,240,520),"")</f>
        <v/>
      </c>
      <c r="D111" s="3" t="str">
        <f>IF($A111="","",IF(AND(N($G111)&lt;=Params!$D$2,N($H111)&lt;=Params!$E$2),"Peu actif",IF(AND(N($I111)&gt;=Params!$F$4,N($E111)&lt;=Params!$B$2,N($F111)&lt;=Params!$C$2),"Efficace",IF(AND(N($F111)&gt;=Params!$C$4,OR(N($I111)&lt;=Params!$F$3,N($E111)&gt;=Params!$B$4)),"Bloqué",IF(AND(OR(N($G111)&gt;=Params!$D$4,N($H111)&gt;=Params!$E$4),N($I111)&lt;=Params!$F$3),"Persévérant",IF(AND(N($J111)&gt;=Params!$G$4,OR(N($G111)&lt;=Params!$D$3,N($H111)&lt;=Params!$E$3)),"Sporadique","Intermédiaire"))))))</f>
        <v>Intermédiaire</v>
      </c>
      <c r="E111" s="6">
        <f t="array" ref="E111">XLOOKUP(A111, EQ!A:A, EQ!B:B, "")</f>
        <v>0.2</v>
      </c>
      <c r="F111" s="6">
        <f t="array" ref="F111">XLOOKUP(A111, RED!A:A, RED!B:B, "")</f>
        <v>0.1</v>
      </c>
      <c r="G111" s="3">
        <f t="shared" si="96"/>
        <v>6</v>
      </c>
      <c r="H111" s="3">
        <f t="shared" ref="H111:O111" si="112">XLOOKUP($A111, INDIRECT("'"&amp;H$1&amp;"'!A:A"), INDIRECT("'"&amp;H$1&amp;"'!B:B"), "")</f>
        <v>1</v>
      </c>
      <c r="I111" s="3">
        <f t="shared" si="112"/>
        <v>0.6666666667</v>
      </c>
      <c r="J111" s="3">
        <f t="shared" si="112"/>
        <v>0</v>
      </c>
      <c r="K111" s="3">
        <f t="shared" si="112"/>
        <v>0.38636383</v>
      </c>
      <c r="L111" s="3">
        <f t="shared" si="112"/>
        <v>40.16666667</v>
      </c>
      <c r="M111" s="3">
        <f t="shared" si="112"/>
        <v>5.8</v>
      </c>
      <c r="N111" s="3">
        <f t="shared" si="112"/>
        <v>12.6</v>
      </c>
      <c r="O111" s="3">
        <f t="shared" si="112"/>
        <v>60</v>
      </c>
    </row>
    <row r="112">
      <c r="A112" s="3" t="str">
        <f>EQ!A112</f>
        <v/>
      </c>
      <c r="E112" s="6"/>
      <c r="F112" s="6"/>
    </row>
    <row r="113">
      <c r="A113" s="3" t="str">
        <f>EQ!A113</f>
        <v/>
      </c>
      <c r="E113" s="6"/>
      <c r="F113" s="6"/>
    </row>
    <row r="114">
      <c r="A114" s="3" t="str">
        <f>EQ!A114</f>
        <v/>
      </c>
      <c r="E114" s="6"/>
      <c r="F114" s="6"/>
    </row>
    <row r="115">
      <c r="A115" s="3" t="str">
        <f>EQ!A115</f>
        <v/>
      </c>
      <c r="E115" s="6"/>
      <c r="F115" s="6"/>
    </row>
    <row r="116">
      <c r="A116" s="3" t="str">
        <f>EQ!A116</f>
        <v/>
      </c>
      <c r="E116" s="6"/>
      <c r="F116" s="6"/>
    </row>
    <row r="117">
      <c r="A117" s="3" t="str">
        <f>EQ!A117</f>
        <v/>
      </c>
      <c r="E117" s="6"/>
      <c r="F117" s="6"/>
    </row>
    <row r="118">
      <c r="A118" s="3" t="str">
        <f>EQ!A118</f>
        <v/>
      </c>
      <c r="E118" s="6"/>
      <c r="F118" s="6"/>
    </row>
    <row r="119">
      <c r="A119" s="3" t="str">
        <f>EQ!A119</f>
        <v/>
      </c>
      <c r="E119" s="6"/>
      <c r="F119" s="6"/>
    </row>
    <row r="120">
      <c r="A120" s="3" t="str">
        <f>EQ!A120</f>
        <v/>
      </c>
      <c r="E120" s="6"/>
      <c r="F120" s="6"/>
    </row>
    <row r="121">
      <c r="A121" s="3" t="str">
        <f>EQ!A121</f>
        <v/>
      </c>
      <c r="E121" s="6"/>
      <c r="F121" s="6"/>
    </row>
    <row r="122">
      <c r="A122" s="3" t="str">
        <f>EQ!A122</f>
        <v/>
      </c>
      <c r="E122" s="6"/>
      <c r="F122" s="6"/>
    </row>
    <row r="123">
      <c r="A123" s="3" t="str">
        <f>EQ!A123</f>
        <v/>
      </c>
      <c r="E123" s="6"/>
      <c r="F123" s="6"/>
    </row>
    <row r="124">
      <c r="A124" s="3" t="str">
        <f>EQ!A124</f>
        <v/>
      </c>
      <c r="E124" s="6"/>
      <c r="F124" s="6"/>
    </row>
    <row r="125">
      <c r="A125" s="3" t="str">
        <f>EQ!A125</f>
        <v/>
      </c>
      <c r="E125" s="6"/>
      <c r="F125" s="6"/>
    </row>
    <row r="126">
      <c r="A126" s="3" t="str">
        <f>EQ!A126</f>
        <v/>
      </c>
      <c r="E126" s="6"/>
      <c r="F126" s="6"/>
    </row>
    <row r="127">
      <c r="A127" s="3" t="str">
        <f>EQ!A127</f>
        <v/>
      </c>
      <c r="E127" s="6"/>
      <c r="F127" s="6"/>
    </row>
    <row r="128">
      <c r="A128" s="3" t="str">
        <f>EQ!A128</f>
        <v/>
      </c>
      <c r="E128" s="6"/>
      <c r="F128" s="6"/>
    </row>
    <row r="129">
      <c r="A129" s="3" t="str">
        <f>EQ!A129</f>
        <v/>
      </c>
      <c r="E129" s="6"/>
      <c r="F129" s="6"/>
    </row>
    <row r="130">
      <c r="A130" s="3" t="str">
        <f>EQ!A130</f>
        <v/>
      </c>
      <c r="E130" s="6"/>
      <c r="F130" s="6"/>
    </row>
    <row r="131">
      <c r="A131" s="3" t="str">
        <f>EQ!A131</f>
        <v/>
      </c>
      <c r="E131" s="6"/>
      <c r="F131" s="6"/>
    </row>
    <row r="132">
      <c r="A132" s="3" t="str">
        <f>EQ!A132</f>
        <v/>
      </c>
      <c r="E132" s="6"/>
      <c r="F132" s="6"/>
    </row>
    <row r="133">
      <c r="A133" s="3" t="str">
        <f>EQ!A133</f>
        <v/>
      </c>
      <c r="E133" s="6"/>
      <c r="F133" s="6"/>
    </row>
    <row r="134">
      <c r="A134" s="3" t="str">
        <f>EQ!A134</f>
        <v/>
      </c>
      <c r="E134" s="6"/>
      <c r="F134" s="6"/>
    </row>
    <row r="135">
      <c r="A135" s="3" t="str">
        <f>EQ!A135</f>
        <v/>
      </c>
      <c r="E135" s="6"/>
      <c r="F135" s="6"/>
    </row>
    <row r="136">
      <c r="A136" s="3" t="str">
        <f>EQ!A136</f>
        <v/>
      </c>
      <c r="E136" s="6"/>
      <c r="F136" s="6"/>
    </row>
    <row r="137">
      <c r="A137" s="3" t="str">
        <f>EQ!A137</f>
        <v/>
      </c>
      <c r="E137" s="6"/>
      <c r="F137" s="6"/>
    </row>
    <row r="138">
      <c r="A138" s="3" t="str">
        <f>EQ!A138</f>
        <v/>
      </c>
      <c r="E138" s="6"/>
      <c r="F138" s="6"/>
    </row>
    <row r="139">
      <c r="A139" s="3" t="str">
        <f>EQ!A139</f>
        <v/>
      </c>
      <c r="E139" s="6"/>
      <c r="F139" s="6"/>
    </row>
    <row r="140">
      <c r="A140" s="3" t="str">
        <f>EQ!A140</f>
        <v/>
      </c>
      <c r="E140" s="6"/>
      <c r="F140" s="6"/>
    </row>
    <row r="141">
      <c r="A141" s="3" t="str">
        <f>EQ!A141</f>
        <v/>
      </c>
      <c r="E141" s="6"/>
      <c r="F141" s="6"/>
    </row>
    <row r="142">
      <c r="A142" s="3" t="str">
        <f>EQ!A142</f>
        <v/>
      </c>
      <c r="E142" s="6"/>
      <c r="F142" s="6"/>
    </row>
    <row r="143">
      <c r="A143" s="3" t="str">
        <f>EQ!A143</f>
        <v/>
      </c>
      <c r="E143" s="6"/>
      <c r="F143" s="6"/>
    </row>
    <row r="144">
      <c r="A144" s="3" t="str">
        <f>EQ!A144</f>
        <v/>
      </c>
      <c r="E144" s="6"/>
      <c r="F144" s="6"/>
    </row>
    <row r="145">
      <c r="A145" s="3" t="str">
        <f>EQ!A145</f>
        <v/>
      </c>
      <c r="E145" s="6"/>
      <c r="F145" s="6"/>
    </row>
    <row r="146">
      <c r="A146" s="3" t="str">
        <f>EQ!A146</f>
        <v/>
      </c>
      <c r="E146" s="6"/>
      <c r="F146" s="6"/>
    </row>
    <row r="147">
      <c r="A147" s="3" t="str">
        <f>EQ!A147</f>
        <v/>
      </c>
      <c r="E147" s="6"/>
      <c r="F147" s="6"/>
    </row>
    <row r="148">
      <c r="A148" s="3" t="str">
        <f>EQ!A148</f>
        <v/>
      </c>
      <c r="E148" s="6"/>
      <c r="F148" s="6"/>
    </row>
    <row r="149">
      <c r="A149" s="3" t="str">
        <f>EQ!A149</f>
        <v/>
      </c>
      <c r="E149" s="6"/>
      <c r="F149" s="6"/>
    </row>
    <row r="150">
      <c r="A150" s="3" t="str">
        <f>EQ!A150</f>
        <v/>
      </c>
      <c r="E150" s="6"/>
      <c r="F150" s="6"/>
    </row>
    <row r="151">
      <c r="A151" s="3" t="str">
        <f>EQ!A151</f>
        <v/>
      </c>
      <c r="E151" s="6"/>
      <c r="F151" s="6"/>
    </row>
    <row r="152">
      <c r="A152" s="3" t="str">
        <f>EQ!A152</f>
        <v/>
      </c>
      <c r="E152" s="6"/>
      <c r="F152" s="6"/>
    </row>
    <row r="153">
      <c r="A153" s="3" t="str">
        <f>EQ!A153</f>
        <v/>
      </c>
      <c r="E153" s="6"/>
      <c r="F153" s="6"/>
    </row>
    <row r="154">
      <c r="A154" s="3" t="str">
        <f>EQ!A154</f>
        <v/>
      </c>
      <c r="E154" s="6"/>
      <c r="F154" s="6"/>
    </row>
    <row r="155">
      <c r="A155" s="3" t="str">
        <f>EQ!A155</f>
        <v/>
      </c>
      <c r="E155" s="6"/>
      <c r="F155" s="6"/>
    </row>
    <row r="156">
      <c r="E156" s="6"/>
      <c r="F156" s="6"/>
    </row>
    <row r="157">
      <c r="E157" s="6"/>
      <c r="F157" s="6"/>
    </row>
    <row r="158">
      <c r="E158" s="6"/>
      <c r="F158" s="6"/>
    </row>
    <row r="159">
      <c r="E159" s="6"/>
      <c r="F159" s="6"/>
    </row>
    <row r="160">
      <c r="E160" s="6"/>
      <c r="F160" s="6"/>
    </row>
    <row r="161">
      <c r="E161" s="6"/>
      <c r="F161" s="6"/>
    </row>
    <row r="162">
      <c r="E162" s="6"/>
      <c r="F162" s="6"/>
    </row>
    <row r="163">
      <c r="E163" s="6"/>
      <c r="F163" s="6"/>
    </row>
    <row r="164">
      <c r="E164" s="6"/>
      <c r="F164" s="6"/>
    </row>
    <row r="165">
      <c r="E165" s="6"/>
      <c r="F165" s="6"/>
    </row>
    <row r="166">
      <c r="E166" s="6"/>
      <c r="F166" s="6"/>
    </row>
    <row r="167">
      <c r="E167" s="6"/>
      <c r="F167" s="6"/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  <row r="1000">
      <c r="E1000" s="6"/>
      <c r="F1000" s="6"/>
    </row>
  </sheetData>
  <autoFilter ref="$A$1:$O$1000">
    <sortState ref="A1:O1000">
      <sortCondition ref="L1:L1000"/>
    </sortState>
  </autoFilter>
  <conditionalFormatting sqref="B1:B1000">
    <cfRule type="cellIs" dxfId="0" priority="1" operator="lessThan">
      <formula>25</formula>
    </cfRule>
  </conditionalFormatting>
  <conditionalFormatting sqref="B1:B1000">
    <cfRule type="cellIs" dxfId="1" priority="2" operator="lessThan">
      <formula>50</formula>
    </cfRule>
  </conditionalFormatting>
  <conditionalFormatting sqref="B1:B1000">
    <cfRule type="cellIs" dxfId="2" priority="3" operator="lessThan">
      <formula>75</formula>
    </cfRule>
  </conditionalFormatting>
  <conditionalFormatting sqref="B1:B1000">
    <cfRule type="cellIs" dxfId="3" priority="4" operator="lessThan">
      <formula>100</formula>
    </cfRule>
  </conditionalFormatting>
  <conditionalFormatting sqref="D1:D111">
    <cfRule type="cellIs" dxfId="3" priority="5" operator="equal">
      <formula>"Efficace"</formula>
    </cfRule>
  </conditionalFormatting>
  <conditionalFormatting sqref="D1:D1000">
    <cfRule type="cellIs" dxfId="4" priority="6" operator="equal">
      <formula>"Peu actif"</formula>
    </cfRule>
  </conditionalFormatting>
  <conditionalFormatting sqref="D1:D1000">
    <cfRule type="cellIs" dxfId="5" priority="7" operator="equal">
      <formula>"Intermédiaire"</formula>
    </cfRule>
  </conditionalFormatting>
  <conditionalFormatting sqref="D1:D1000">
    <cfRule type="cellIs" dxfId="6" priority="8" operator="equal">
      <formula>"Sporadique"</formula>
    </cfRule>
  </conditionalFormatting>
  <conditionalFormatting sqref="D1:D1000">
    <cfRule type="cellIs" dxfId="7" priority="9" operator="equal">
      <formula>"Persévérant"</formula>
    </cfRule>
  </conditionalFormatting>
  <conditionalFormatting sqref="D1:D1000">
    <cfRule type="cellIs" dxfId="8" priority="10" operator="equal">
      <formula>"Bloqué"</formula>
    </cfRule>
  </conditionalFormatting>
  <conditionalFormatting sqref="K1:K1000">
    <cfRule type="cellIs" dxfId="8" priority="11" operator="lessThan">
      <formula>0.2</formula>
    </cfRule>
  </conditionalFormatting>
  <conditionalFormatting sqref="K1:K1000">
    <cfRule type="cellIs" dxfId="7" priority="12" operator="lessThan">
      <formula>0.4</formula>
    </cfRule>
  </conditionalFormatting>
  <conditionalFormatting sqref="K1:K1000">
    <cfRule type="cellIs" dxfId="2" priority="13" operator="lessThan">
      <formula>0.6</formula>
    </cfRule>
  </conditionalFormatting>
  <conditionalFormatting sqref="K1:K1000">
    <cfRule type="cellIs" dxfId="3" priority="14" operator="lessThan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7" t="str">
        <f>'Récap'!E1</f>
        <v>EQ</v>
      </c>
      <c r="C1" s="7" t="str">
        <f>'Récap'!F1</f>
        <v>RED</v>
      </c>
      <c r="D1" s="8" t="str">
        <f>'Récap'!G1</f>
        <v>Comp_Count</v>
      </c>
      <c r="E1" s="8" t="str">
        <f>'Récap'!H1</f>
        <v>Sess_Count</v>
      </c>
      <c r="F1" s="8" t="str">
        <f>'Récap'!I1</f>
        <v>Comp_FP_Ratio</v>
      </c>
      <c r="G1" s="8" t="str">
        <f>'Récap'!J1</f>
        <v>Frac_Long</v>
      </c>
      <c r="H1" s="8" t="str">
        <f>'Récap'!K1</f>
        <v>Mean_Test</v>
      </c>
    </row>
    <row r="2">
      <c r="A2" s="2">
        <v>1.0</v>
      </c>
      <c r="B2" s="3">
        <f t="array" ref="B2:B1000">IF(INDIRECT("'"&amp;B$1&amp;"'!B2:B")="",,ROUND(INDIRECT("'"&amp;B$1&amp;"'!B2:B"),$A$2))</f>
        <v>0</v>
      </c>
      <c r="C2" s="3">
        <f t="array" ref="C2:C1000">IF(INDIRECT("'"&amp;C$1&amp;"'!B2:B")="",,ROUND(INDIRECT("'"&amp;C$1&amp;"'!B2:B"),$A$2))</f>
        <v>0</v>
      </c>
      <c r="D2" s="3">
        <f t="array" ref="D2:D1000">IF(INDIRECT("'"&amp;D$1&amp;"'!B2:B")="",,ROUND(INDIRECT("'"&amp;D$1&amp;"'!B2:B"),$A$2))</f>
        <v>4</v>
      </c>
      <c r="E2" s="3">
        <f t="array" ref="E2:E1000">IF(INDIRECT("'"&amp;E$1&amp;"'!B2:B")="",,ROUND(INDIRECT("'"&amp;E$1&amp;"'!B2:B"),$A$2))</f>
        <v>1</v>
      </c>
      <c r="F2" s="3">
        <f t="array" ref="F2:F1000">IF(INDIRECT("'"&amp;F$1&amp;"'!B2:B")="",,ROUND(INDIRECT("'"&amp;F$1&amp;"'!B2:B"),$A$2))</f>
        <v>1</v>
      </c>
      <c r="G2" s="3">
        <f t="array" ref="G2:G1000">IF(INDIRECT("'"&amp;G$1&amp;"'!B2:B")="",,ROUND(INDIRECT("'"&amp;G$1&amp;"'!B2:B"),$A$2))</f>
        <v>0</v>
      </c>
      <c r="H2" s="3">
        <f t="array" ref="H2:H1000">IF(INDIRECT("'"&amp;H$1&amp;"'!B2:B")="",,ROUND(INDIRECT("'"&amp;H$1&amp;"'!B2:B"),$A$2))</f>
        <v>1</v>
      </c>
    </row>
    <row r="3">
      <c r="B3" s="3">
        <v>0.8</v>
      </c>
      <c r="C3" s="3">
        <v>0.6</v>
      </c>
      <c r="D3" s="3">
        <v>1.0</v>
      </c>
      <c r="E3" s="3">
        <v>1.0</v>
      </c>
      <c r="F3" s="3">
        <v>0.0</v>
      </c>
      <c r="G3" s="3">
        <v>0.0</v>
      </c>
      <c r="H3" s="3">
        <v>0.0</v>
      </c>
    </row>
    <row r="4">
      <c r="B4" s="3">
        <v>0.0</v>
      </c>
      <c r="C4" s="3">
        <v>0.0</v>
      </c>
      <c r="D4" s="3">
        <v>5.0</v>
      </c>
      <c r="E4" s="3">
        <v>1.0</v>
      </c>
      <c r="F4" s="3">
        <v>0.2</v>
      </c>
      <c r="G4" s="3">
        <v>0.1</v>
      </c>
      <c r="H4" s="3">
        <v>0.2</v>
      </c>
    </row>
    <row r="5">
      <c r="B5" s="3">
        <v>0.1</v>
      </c>
      <c r="C5" s="3">
        <v>0.1</v>
      </c>
      <c r="D5" s="3">
        <v>29.0</v>
      </c>
      <c r="E5" s="3">
        <v>4.0</v>
      </c>
      <c r="F5" s="3">
        <v>0.9</v>
      </c>
      <c r="G5" s="3">
        <v>0.0</v>
      </c>
      <c r="H5" s="3">
        <v>0.9</v>
      </c>
    </row>
    <row r="6">
      <c r="B6" s="3">
        <v>0.0</v>
      </c>
      <c r="C6" s="3">
        <v>0.0</v>
      </c>
      <c r="D6" s="3">
        <v>16.0</v>
      </c>
      <c r="E6" s="3">
        <v>1.0</v>
      </c>
      <c r="F6" s="3">
        <v>0.8</v>
      </c>
      <c r="G6" s="3">
        <v>0.3</v>
      </c>
      <c r="H6" s="3">
        <v>0.7</v>
      </c>
    </row>
    <row r="7">
      <c r="B7" s="3">
        <v>0.0</v>
      </c>
      <c r="C7" s="3">
        <v>0.0</v>
      </c>
      <c r="D7" s="3">
        <v>4.0</v>
      </c>
      <c r="E7" s="3">
        <v>2.0</v>
      </c>
      <c r="F7" s="3">
        <v>0.8</v>
      </c>
      <c r="G7" s="3">
        <v>0.0</v>
      </c>
      <c r="H7" s="3">
        <v>0.4</v>
      </c>
    </row>
    <row r="8">
      <c r="B8" s="3">
        <v>0.0</v>
      </c>
      <c r="C8" s="3">
        <v>0.0</v>
      </c>
      <c r="D8" s="3">
        <v>15.0</v>
      </c>
      <c r="E8" s="3">
        <v>1.0</v>
      </c>
      <c r="F8" s="3">
        <v>0.9</v>
      </c>
      <c r="G8" s="3">
        <v>0.0</v>
      </c>
      <c r="H8" s="3">
        <v>0.8</v>
      </c>
    </row>
    <row r="9">
      <c r="B9" s="3">
        <v>0.5</v>
      </c>
      <c r="C9" s="3">
        <v>0.4</v>
      </c>
      <c r="D9" s="3">
        <v>18.0</v>
      </c>
      <c r="E9" s="3">
        <v>1.0</v>
      </c>
      <c r="F9" s="3">
        <v>0.8</v>
      </c>
      <c r="G9" s="3">
        <v>0.1</v>
      </c>
      <c r="H9" s="3">
        <v>0.7</v>
      </c>
    </row>
    <row r="10">
      <c r="B10" s="3">
        <v>0.7</v>
      </c>
      <c r="C10" s="3">
        <v>0.6</v>
      </c>
      <c r="D10" s="3">
        <v>17.0</v>
      </c>
      <c r="E10" s="3">
        <v>2.0</v>
      </c>
      <c r="F10" s="3">
        <v>0.4</v>
      </c>
      <c r="G10" s="3">
        <v>0.0</v>
      </c>
      <c r="H10" s="3">
        <v>0.3</v>
      </c>
    </row>
    <row r="11">
      <c r="B11" s="3">
        <v>0.3</v>
      </c>
      <c r="C11" s="3">
        <v>0.2</v>
      </c>
      <c r="D11" s="3">
        <v>59.0</v>
      </c>
      <c r="E11" s="3">
        <v>2.0</v>
      </c>
      <c r="F11" s="3">
        <v>0.2</v>
      </c>
      <c r="G11" s="3">
        <v>0.0</v>
      </c>
      <c r="H11" s="3">
        <v>0.1</v>
      </c>
    </row>
    <row r="12">
      <c r="B12" s="3">
        <v>0.1</v>
      </c>
      <c r="C12" s="3">
        <v>0.1</v>
      </c>
      <c r="D12" s="3">
        <v>10.0</v>
      </c>
      <c r="E12" s="3">
        <v>1.0</v>
      </c>
      <c r="F12" s="3">
        <v>0.6</v>
      </c>
      <c r="G12" s="3">
        <v>0.0</v>
      </c>
      <c r="H12" s="3">
        <v>0.5</v>
      </c>
    </row>
    <row r="13">
      <c r="B13" s="3">
        <v>0.3</v>
      </c>
      <c r="C13" s="3">
        <v>0.2</v>
      </c>
      <c r="D13" s="3">
        <v>1.0</v>
      </c>
      <c r="E13" s="3">
        <v>1.0</v>
      </c>
      <c r="F13" s="3">
        <v>0.0</v>
      </c>
      <c r="G13" s="3">
        <v>0.3</v>
      </c>
      <c r="H13" s="3">
        <v>0.0</v>
      </c>
    </row>
    <row r="14">
      <c r="B14" s="3">
        <v>0.5</v>
      </c>
      <c r="C14" s="3">
        <v>0.5</v>
      </c>
      <c r="D14" s="3">
        <v>2.0</v>
      </c>
      <c r="E14" s="3">
        <v>1.0</v>
      </c>
      <c r="F14" s="3">
        <v>1.0</v>
      </c>
      <c r="G14" s="3">
        <v>0.1</v>
      </c>
      <c r="H14" s="3">
        <v>0.9</v>
      </c>
    </row>
    <row r="15">
      <c r="B15" s="3">
        <v>0.0</v>
      </c>
      <c r="C15" s="3">
        <v>0.0</v>
      </c>
      <c r="D15" s="3">
        <v>13.0</v>
      </c>
      <c r="E15" s="3">
        <v>5.0</v>
      </c>
      <c r="F15" s="3">
        <v>0.8</v>
      </c>
      <c r="G15" s="3">
        <v>0.0</v>
      </c>
      <c r="H15" s="3">
        <v>0.7</v>
      </c>
    </row>
    <row r="16">
      <c r="B16" s="3">
        <v>0.4</v>
      </c>
      <c r="C16" s="3">
        <v>0.3</v>
      </c>
      <c r="D16" s="3">
        <v>18.0</v>
      </c>
      <c r="E16" s="3">
        <v>3.0</v>
      </c>
      <c r="F16" s="3">
        <v>0.6</v>
      </c>
      <c r="G16" s="3">
        <v>0.2</v>
      </c>
      <c r="H16" s="3">
        <v>0.4</v>
      </c>
    </row>
    <row r="17">
      <c r="B17" s="3">
        <v>0.5</v>
      </c>
      <c r="C17" s="3">
        <v>0.4</v>
      </c>
      <c r="D17" s="3">
        <v>32.0</v>
      </c>
      <c r="E17" s="3">
        <v>2.0</v>
      </c>
      <c r="F17" s="3">
        <v>0.4</v>
      </c>
      <c r="G17" s="3">
        <v>0.0</v>
      </c>
      <c r="H17" s="3">
        <v>0.4</v>
      </c>
    </row>
    <row r="18">
      <c r="B18" s="3">
        <v>0.0</v>
      </c>
      <c r="C18" s="3">
        <v>0.0</v>
      </c>
      <c r="D18" s="3">
        <v>14.0</v>
      </c>
      <c r="E18" s="3">
        <v>3.0</v>
      </c>
      <c r="F18" s="3">
        <v>0.9</v>
      </c>
      <c r="G18" s="3">
        <v>0.0</v>
      </c>
      <c r="H18" s="3">
        <v>0.8</v>
      </c>
    </row>
    <row r="19">
      <c r="B19" s="3">
        <v>0.0</v>
      </c>
      <c r="C19" s="3">
        <v>0.0</v>
      </c>
      <c r="D19" s="3">
        <v>17.0</v>
      </c>
      <c r="E19" s="3">
        <v>1.0</v>
      </c>
      <c r="F19" s="3">
        <v>0.7</v>
      </c>
      <c r="G19" s="3">
        <v>0.1</v>
      </c>
      <c r="H19" s="3">
        <v>0.7</v>
      </c>
    </row>
    <row r="20">
      <c r="B20" s="3">
        <v>0.3</v>
      </c>
      <c r="C20" s="3">
        <v>0.2</v>
      </c>
      <c r="D20" s="3">
        <v>1.0</v>
      </c>
      <c r="E20" s="3">
        <v>1.0</v>
      </c>
      <c r="F20" s="3">
        <v>1.0</v>
      </c>
      <c r="G20" s="3">
        <v>0.1</v>
      </c>
      <c r="H20" s="3">
        <v>1.0</v>
      </c>
    </row>
    <row r="21">
      <c r="B21" s="3">
        <v>0.2</v>
      </c>
      <c r="C21" s="3">
        <v>0.1</v>
      </c>
      <c r="D21" s="3">
        <v>30.0</v>
      </c>
      <c r="E21" s="3">
        <v>2.0</v>
      </c>
      <c r="F21" s="3">
        <v>0.4</v>
      </c>
      <c r="G21" s="3">
        <v>0.1</v>
      </c>
      <c r="H21" s="3">
        <v>0.2</v>
      </c>
    </row>
    <row r="22">
      <c r="B22" s="3">
        <v>0.3</v>
      </c>
      <c r="C22" s="3">
        <v>0.2</v>
      </c>
      <c r="D22" s="3">
        <v>17.0</v>
      </c>
      <c r="E22" s="3">
        <v>3.0</v>
      </c>
      <c r="F22" s="3">
        <v>0.9</v>
      </c>
      <c r="G22" s="3">
        <v>0.1</v>
      </c>
      <c r="H22" s="3">
        <v>0.7</v>
      </c>
    </row>
    <row r="23">
      <c r="B23" s="3">
        <v>0.0</v>
      </c>
      <c r="C23" s="3">
        <v>0.0</v>
      </c>
      <c r="D23" s="3">
        <v>11.0</v>
      </c>
      <c r="E23" s="3">
        <v>2.0</v>
      </c>
      <c r="F23" s="3">
        <v>0.8</v>
      </c>
      <c r="G23" s="3">
        <v>0.3</v>
      </c>
      <c r="H23" s="3">
        <v>0.3</v>
      </c>
    </row>
    <row r="24">
      <c r="B24" s="3">
        <v>1.0</v>
      </c>
      <c r="C24" s="3">
        <v>0.8</v>
      </c>
      <c r="D24" s="3">
        <v>26.0</v>
      </c>
      <c r="E24" s="3">
        <v>3.0</v>
      </c>
      <c r="F24" s="3">
        <v>0.6</v>
      </c>
      <c r="G24" s="3">
        <v>0.3</v>
      </c>
      <c r="H24" s="3">
        <v>0.3</v>
      </c>
    </row>
    <row r="25">
      <c r="B25" s="3">
        <v>0.2</v>
      </c>
      <c r="C25" s="3">
        <v>0.1</v>
      </c>
      <c r="D25" s="3">
        <v>9.0</v>
      </c>
      <c r="E25" s="3">
        <v>2.0</v>
      </c>
      <c r="F25" s="3">
        <v>0.7</v>
      </c>
      <c r="G25" s="3">
        <v>0.0</v>
      </c>
      <c r="H25" s="3">
        <v>0.6</v>
      </c>
    </row>
    <row r="26">
      <c r="B26" s="3">
        <v>0.2</v>
      </c>
      <c r="C26" s="3">
        <v>0.1</v>
      </c>
      <c r="D26" s="3">
        <v>5.0</v>
      </c>
      <c r="E26" s="3">
        <v>2.0</v>
      </c>
      <c r="F26" s="3">
        <v>0.4</v>
      </c>
      <c r="G26" s="3">
        <v>0.0</v>
      </c>
      <c r="H26" s="3">
        <v>0.4</v>
      </c>
    </row>
    <row r="27">
      <c r="B27" s="3">
        <v>0.0</v>
      </c>
      <c r="C27" s="3">
        <v>0.0</v>
      </c>
      <c r="D27" s="3">
        <v>1.0</v>
      </c>
      <c r="E27" s="3">
        <v>1.0</v>
      </c>
      <c r="F27" s="3">
        <v>1.0</v>
      </c>
      <c r="G27" s="3">
        <v>0.0</v>
      </c>
      <c r="H27" s="3">
        <v>1.0</v>
      </c>
    </row>
    <row r="28">
      <c r="B28" s="3">
        <v>0.2</v>
      </c>
      <c r="C28" s="3">
        <v>0.1</v>
      </c>
      <c r="D28" s="3">
        <v>5.0</v>
      </c>
      <c r="E28" s="3">
        <v>2.0</v>
      </c>
      <c r="F28" s="3">
        <v>1.0</v>
      </c>
      <c r="G28" s="3">
        <v>0.0</v>
      </c>
      <c r="H28" s="3">
        <v>0.8</v>
      </c>
    </row>
    <row r="29">
      <c r="B29" s="3">
        <v>0.7</v>
      </c>
      <c r="C29" s="3">
        <v>0.6</v>
      </c>
      <c r="D29" s="3">
        <v>5.0</v>
      </c>
      <c r="E29" s="3">
        <v>1.0</v>
      </c>
      <c r="F29" s="3">
        <v>0.0</v>
      </c>
      <c r="G29" s="3">
        <v>0.0</v>
      </c>
      <c r="H29" s="3">
        <v>0.0</v>
      </c>
    </row>
    <row r="30">
      <c r="B30" s="3">
        <v>0.3</v>
      </c>
      <c r="C30" s="3">
        <v>0.1</v>
      </c>
      <c r="D30" s="3">
        <v>30.0</v>
      </c>
      <c r="E30" s="3">
        <v>2.0</v>
      </c>
      <c r="F30" s="3">
        <v>0.6</v>
      </c>
      <c r="G30" s="3">
        <v>0.0</v>
      </c>
      <c r="H30" s="3">
        <v>0.6</v>
      </c>
    </row>
    <row r="31">
      <c r="B31" s="3">
        <v>0.7</v>
      </c>
      <c r="C31" s="3">
        <v>0.6</v>
      </c>
      <c r="D31" s="3">
        <v>6.0</v>
      </c>
      <c r="E31" s="3">
        <v>1.0</v>
      </c>
      <c r="F31" s="3">
        <v>0.7</v>
      </c>
      <c r="G31" s="3">
        <v>0.1</v>
      </c>
      <c r="H31" s="3">
        <v>0.4</v>
      </c>
    </row>
    <row r="32">
      <c r="B32" s="3">
        <v>0.3</v>
      </c>
      <c r="C32" s="3">
        <v>0.3</v>
      </c>
      <c r="D32" s="3">
        <v>6.0</v>
      </c>
      <c r="E32" s="3">
        <v>1.0</v>
      </c>
      <c r="F32" s="3">
        <v>0.7</v>
      </c>
      <c r="G32" s="3">
        <v>0.3</v>
      </c>
      <c r="H32" s="3">
        <v>0.4</v>
      </c>
    </row>
    <row r="33">
      <c r="B33" s="3">
        <v>0.8</v>
      </c>
      <c r="C33" s="3">
        <v>0.7</v>
      </c>
      <c r="D33" s="3">
        <v>2.0</v>
      </c>
      <c r="E33" s="3">
        <v>1.0</v>
      </c>
      <c r="F33" s="3">
        <v>0.0</v>
      </c>
      <c r="G33" s="3">
        <v>0.0</v>
      </c>
      <c r="H33" s="3">
        <v>0.0</v>
      </c>
    </row>
    <row r="34">
      <c r="B34" s="3">
        <v>0.6</v>
      </c>
      <c r="C34" s="3">
        <v>0.5</v>
      </c>
      <c r="D34" s="3">
        <v>6.0</v>
      </c>
      <c r="E34" s="3">
        <v>1.0</v>
      </c>
      <c r="F34" s="3">
        <v>0.7</v>
      </c>
      <c r="G34" s="3">
        <v>0.0</v>
      </c>
      <c r="H34" s="3">
        <v>0.4</v>
      </c>
    </row>
    <row r="35">
      <c r="B35" s="3">
        <v>1.0</v>
      </c>
      <c r="C35" s="3">
        <v>0.8</v>
      </c>
      <c r="D35" s="3">
        <v>15.0</v>
      </c>
      <c r="E35" s="3">
        <v>2.0</v>
      </c>
      <c r="F35" s="3">
        <v>0.3</v>
      </c>
      <c r="G35" s="3">
        <v>0.0</v>
      </c>
      <c r="H35" s="3">
        <v>0.2</v>
      </c>
    </row>
    <row r="36">
      <c r="B36" s="3">
        <v>0.2</v>
      </c>
      <c r="C36" s="3">
        <v>0.1</v>
      </c>
      <c r="D36" s="3">
        <v>7.0</v>
      </c>
      <c r="E36" s="3">
        <v>3.0</v>
      </c>
      <c r="F36" s="3">
        <v>0.6</v>
      </c>
      <c r="G36" s="3">
        <v>0.0</v>
      </c>
      <c r="H36" s="3">
        <v>0.4</v>
      </c>
    </row>
    <row r="37">
      <c r="B37" s="3">
        <v>0.3</v>
      </c>
      <c r="C37" s="3">
        <v>0.2</v>
      </c>
      <c r="D37" s="3">
        <v>29.0</v>
      </c>
      <c r="E37" s="3">
        <v>2.0</v>
      </c>
      <c r="F37" s="3">
        <v>0.3</v>
      </c>
      <c r="G37" s="3">
        <v>0.0</v>
      </c>
      <c r="H37" s="3">
        <v>0.3</v>
      </c>
    </row>
    <row r="38">
      <c r="B38" s="3">
        <v>0.0</v>
      </c>
      <c r="C38" s="3">
        <v>0.0</v>
      </c>
      <c r="D38" s="3">
        <v>27.0</v>
      </c>
      <c r="E38" s="3">
        <v>2.0</v>
      </c>
      <c r="F38" s="3">
        <v>0.4</v>
      </c>
      <c r="G38" s="3">
        <v>0.0</v>
      </c>
      <c r="H38" s="3">
        <v>0.2</v>
      </c>
    </row>
    <row r="39">
      <c r="B39" s="3">
        <v>0.1</v>
      </c>
      <c r="C39" s="3">
        <v>0.0</v>
      </c>
      <c r="D39" s="3">
        <v>1.0</v>
      </c>
      <c r="E39" s="3">
        <v>1.0</v>
      </c>
      <c r="F39" s="3">
        <v>0.0</v>
      </c>
      <c r="G39" s="3">
        <v>0.1</v>
      </c>
      <c r="H39" s="3">
        <v>0.0</v>
      </c>
    </row>
    <row r="40">
      <c r="B40" s="3">
        <v>0.0</v>
      </c>
      <c r="C40" s="3">
        <v>0.0</v>
      </c>
      <c r="D40" s="3">
        <v>1.0</v>
      </c>
      <c r="E40" s="3">
        <v>1.0</v>
      </c>
      <c r="F40" s="3">
        <v>1.0</v>
      </c>
      <c r="G40" s="3">
        <v>0.1</v>
      </c>
      <c r="H40" s="3">
        <v>0.8</v>
      </c>
    </row>
    <row r="41">
      <c r="B41" s="3">
        <v>0.0</v>
      </c>
      <c r="C41" s="3">
        <v>0.0</v>
      </c>
      <c r="D41" s="3">
        <v>20.0</v>
      </c>
      <c r="E41" s="3">
        <v>1.0</v>
      </c>
      <c r="F41" s="3">
        <v>0.2</v>
      </c>
      <c r="G41" s="3">
        <v>0.1</v>
      </c>
      <c r="H41" s="3">
        <v>0.1</v>
      </c>
    </row>
    <row r="42">
      <c r="B42" s="3">
        <v>0.3</v>
      </c>
      <c r="C42" s="3">
        <v>0.1</v>
      </c>
      <c r="D42" s="3">
        <v>1.0</v>
      </c>
      <c r="E42" s="3">
        <v>1.0</v>
      </c>
      <c r="F42" s="3">
        <v>0.0</v>
      </c>
      <c r="G42" s="3">
        <v>0.1</v>
      </c>
      <c r="H42" s="3">
        <v>0.0</v>
      </c>
    </row>
    <row r="43">
      <c r="B43" s="3">
        <v>0.3</v>
      </c>
      <c r="C43" s="3">
        <v>0.1</v>
      </c>
      <c r="D43" s="3">
        <v>60.0</v>
      </c>
      <c r="E43" s="3">
        <v>2.0</v>
      </c>
      <c r="F43" s="3">
        <v>0.4</v>
      </c>
      <c r="G43" s="3">
        <v>0.0</v>
      </c>
      <c r="H43" s="3">
        <v>0.4</v>
      </c>
    </row>
    <row r="44">
      <c r="B44" s="3">
        <v>0.3</v>
      </c>
      <c r="C44" s="3">
        <v>0.2</v>
      </c>
      <c r="D44" s="3">
        <v>4.0</v>
      </c>
      <c r="E44" s="3">
        <v>1.0</v>
      </c>
      <c r="F44" s="3">
        <v>0.0</v>
      </c>
      <c r="G44" s="3">
        <v>0.7</v>
      </c>
      <c r="H44" s="3">
        <v>0.0</v>
      </c>
    </row>
    <row r="45">
      <c r="B45" s="3">
        <v>0.7</v>
      </c>
      <c r="C45" s="3">
        <v>0.6</v>
      </c>
      <c r="D45" s="3">
        <v>2.0</v>
      </c>
      <c r="E45" s="3">
        <v>1.0</v>
      </c>
      <c r="F45" s="3">
        <v>0.5</v>
      </c>
      <c r="G45" s="3">
        <v>0.1</v>
      </c>
      <c r="H45" s="3">
        <v>0.5</v>
      </c>
    </row>
    <row r="46">
      <c r="B46" s="3">
        <v>0.9</v>
      </c>
      <c r="C46" s="3">
        <v>0.8</v>
      </c>
      <c r="D46" s="3">
        <v>23.0</v>
      </c>
      <c r="E46" s="3">
        <v>4.0</v>
      </c>
      <c r="F46" s="3">
        <v>0.6</v>
      </c>
      <c r="G46" s="3">
        <v>0.1</v>
      </c>
      <c r="H46" s="3">
        <v>0.4</v>
      </c>
    </row>
    <row r="47">
      <c r="B47" s="3">
        <v>0.6</v>
      </c>
      <c r="C47" s="3">
        <v>0.5</v>
      </c>
      <c r="D47" s="3">
        <v>25.0</v>
      </c>
      <c r="E47" s="3">
        <v>3.0</v>
      </c>
      <c r="F47" s="3">
        <v>0.5</v>
      </c>
      <c r="G47" s="3">
        <v>0.2</v>
      </c>
      <c r="H47" s="3">
        <v>0.5</v>
      </c>
    </row>
    <row r="48">
      <c r="B48" s="3">
        <v>1.0</v>
      </c>
      <c r="C48" s="3">
        <v>0.9</v>
      </c>
      <c r="D48" s="3">
        <v>23.0</v>
      </c>
      <c r="E48" s="3">
        <v>3.0</v>
      </c>
      <c r="F48" s="3">
        <v>0.9</v>
      </c>
      <c r="G48" s="3">
        <v>0.0</v>
      </c>
      <c r="H48" s="3">
        <v>0.7</v>
      </c>
    </row>
    <row r="49">
      <c r="B49" s="3">
        <v>0.0</v>
      </c>
      <c r="C49" s="3">
        <v>0.0</v>
      </c>
      <c r="D49" s="3">
        <v>21.0</v>
      </c>
      <c r="E49" s="3">
        <v>3.0</v>
      </c>
      <c r="F49" s="3">
        <v>0.8</v>
      </c>
      <c r="G49" s="3">
        <v>0.1</v>
      </c>
      <c r="H49" s="3">
        <v>0.3</v>
      </c>
    </row>
    <row r="50">
      <c r="B50" s="3">
        <v>0.3</v>
      </c>
      <c r="C50" s="3">
        <v>0.2</v>
      </c>
      <c r="D50" s="3">
        <v>2.0</v>
      </c>
      <c r="E50" s="3">
        <v>1.0</v>
      </c>
      <c r="F50" s="3">
        <v>0.5</v>
      </c>
      <c r="G50" s="3">
        <v>0.0</v>
      </c>
      <c r="H50" s="3">
        <v>0.5</v>
      </c>
    </row>
    <row r="51">
      <c r="B51" s="3">
        <v>1.0</v>
      </c>
      <c r="C51" s="3">
        <v>0.9</v>
      </c>
      <c r="D51" s="3">
        <v>4.0</v>
      </c>
      <c r="E51" s="3">
        <v>3.0</v>
      </c>
      <c r="F51" s="3">
        <v>1.0</v>
      </c>
      <c r="G51" s="3">
        <v>0.1</v>
      </c>
      <c r="H51" s="3">
        <v>0.9</v>
      </c>
    </row>
    <row r="52">
      <c r="B52" s="3">
        <v>0.8</v>
      </c>
      <c r="C52" s="3">
        <v>0.7</v>
      </c>
      <c r="D52" s="3">
        <v>12.0</v>
      </c>
      <c r="E52" s="3">
        <v>2.0</v>
      </c>
      <c r="F52" s="3">
        <v>1.0</v>
      </c>
      <c r="G52" s="3">
        <v>0.1</v>
      </c>
      <c r="H52" s="3">
        <v>0.5</v>
      </c>
    </row>
    <row r="53">
      <c r="B53" s="3">
        <v>0.1</v>
      </c>
      <c r="C53" s="3">
        <v>0.1</v>
      </c>
      <c r="D53" s="3">
        <v>11.0</v>
      </c>
      <c r="E53" s="3">
        <v>2.0</v>
      </c>
      <c r="F53" s="3">
        <v>0.5</v>
      </c>
      <c r="G53" s="3">
        <v>0.4</v>
      </c>
      <c r="H53" s="3">
        <v>0.4</v>
      </c>
    </row>
    <row r="54">
      <c r="B54" s="3">
        <v>0.5</v>
      </c>
      <c r="C54" s="3">
        <v>0.4</v>
      </c>
      <c r="D54" s="3">
        <v>6.0</v>
      </c>
      <c r="E54" s="3">
        <v>2.0</v>
      </c>
      <c r="F54" s="3">
        <v>0.7</v>
      </c>
      <c r="G54" s="3">
        <v>0.1</v>
      </c>
      <c r="H54" s="3">
        <v>0.6</v>
      </c>
    </row>
    <row r="55">
      <c r="B55" s="3">
        <v>0.7</v>
      </c>
      <c r="C55" s="3">
        <v>0.6</v>
      </c>
      <c r="D55" s="3">
        <v>7.0</v>
      </c>
      <c r="E55" s="3">
        <v>1.0</v>
      </c>
      <c r="F55" s="3">
        <v>0.4</v>
      </c>
      <c r="G55" s="3">
        <v>0.1</v>
      </c>
      <c r="H55" s="3">
        <v>0.4</v>
      </c>
    </row>
    <row r="56">
      <c r="B56" s="3">
        <v>0.6</v>
      </c>
      <c r="C56" s="3">
        <v>0.5</v>
      </c>
      <c r="D56" s="3">
        <v>24.0</v>
      </c>
      <c r="E56" s="3">
        <v>3.0</v>
      </c>
      <c r="F56" s="3">
        <v>0.3</v>
      </c>
      <c r="G56" s="3">
        <v>0.0</v>
      </c>
      <c r="H56" s="3">
        <v>0.3</v>
      </c>
    </row>
    <row r="57">
      <c r="B57" s="3">
        <v>0.2</v>
      </c>
      <c r="C57" s="3">
        <v>0.1</v>
      </c>
      <c r="D57" s="3">
        <v>1.0</v>
      </c>
      <c r="E57" s="3">
        <v>1.0</v>
      </c>
      <c r="F57" s="3">
        <v>0.0</v>
      </c>
      <c r="G57" s="3">
        <v>0.1</v>
      </c>
      <c r="H57" s="3">
        <v>0.0</v>
      </c>
    </row>
    <row r="58">
      <c r="B58" s="3">
        <v>0.5</v>
      </c>
      <c r="C58" s="3">
        <v>0.3</v>
      </c>
      <c r="D58" s="3">
        <v>9.0</v>
      </c>
      <c r="E58" s="3">
        <v>1.0</v>
      </c>
      <c r="F58" s="3">
        <v>0.1</v>
      </c>
      <c r="G58" s="3">
        <v>0.0</v>
      </c>
      <c r="H58" s="3">
        <v>0.1</v>
      </c>
    </row>
    <row r="59">
      <c r="B59" s="3">
        <v>0.0</v>
      </c>
      <c r="C59" s="3">
        <v>0.0</v>
      </c>
      <c r="D59" s="3">
        <v>9.0</v>
      </c>
      <c r="E59" s="3">
        <v>2.0</v>
      </c>
      <c r="F59" s="3">
        <v>0.4</v>
      </c>
      <c r="G59" s="3">
        <v>0.1</v>
      </c>
      <c r="H59" s="3">
        <v>0.2</v>
      </c>
    </row>
    <row r="60">
      <c r="B60" s="3">
        <v>0.8</v>
      </c>
      <c r="C60" s="3">
        <v>0.6</v>
      </c>
      <c r="D60" s="3">
        <v>13.0</v>
      </c>
      <c r="E60" s="3">
        <v>2.0</v>
      </c>
      <c r="F60" s="3">
        <v>0.0</v>
      </c>
      <c r="G60" s="3">
        <v>0.2</v>
      </c>
      <c r="H60" s="3">
        <v>0.0</v>
      </c>
    </row>
    <row r="61">
      <c r="B61" s="3">
        <v>0.2</v>
      </c>
      <c r="C61" s="3">
        <v>0.1</v>
      </c>
      <c r="D61" s="3">
        <v>9.0</v>
      </c>
      <c r="E61" s="3">
        <v>4.0</v>
      </c>
      <c r="F61" s="3">
        <v>0.7</v>
      </c>
      <c r="G61" s="3">
        <v>0.1</v>
      </c>
      <c r="H61" s="3">
        <v>0.5</v>
      </c>
    </row>
    <row r="62">
      <c r="B62" s="3">
        <v>1.0</v>
      </c>
      <c r="C62" s="3">
        <v>0.8</v>
      </c>
      <c r="D62" s="3">
        <v>11.0</v>
      </c>
      <c r="E62" s="3">
        <v>2.0</v>
      </c>
      <c r="F62" s="3">
        <v>0.5</v>
      </c>
      <c r="G62" s="3">
        <v>0.0</v>
      </c>
      <c r="H62" s="3">
        <v>0.5</v>
      </c>
    </row>
    <row r="63">
      <c r="B63" s="3">
        <v>0.6</v>
      </c>
      <c r="C63" s="3">
        <v>0.5</v>
      </c>
      <c r="D63" s="3">
        <v>16.0</v>
      </c>
      <c r="E63" s="3">
        <v>3.0</v>
      </c>
      <c r="F63" s="3">
        <v>0.0</v>
      </c>
      <c r="G63" s="3">
        <v>0.0</v>
      </c>
      <c r="H63" s="3">
        <v>0.0</v>
      </c>
    </row>
    <row r="64">
      <c r="B64" s="3">
        <v>0.0</v>
      </c>
      <c r="C64" s="3">
        <v>0.0</v>
      </c>
      <c r="D64" s="3">
        <v>14.0</v>
      </c>
      <c r="E64" s="3">
        <v>1.0</v>
      </c>
      <c r="F64" s="3">
        <v>0.2</v>
      </c>
      <c r="G64" s="3">
        <v>0.2</v>
      </c>
      <c r="H64" s="3">
        <v>0.2</v>
      </c>
    </row>
    <row r="65">
      <c r="B65" s="3">
        <v>0.0</v>
      </c>
      <c r="C65" s="3">
        <v>0.0</v>
      </c>
      <c r="D65" s="3">
        <v>22.0</v>
      </c>
      <c r="E65" s="3">
        <v>3.0</v>
      </c>
      <c r="F65" s="3">
        <v>0.9</v>
      </c>
      <c r="G65" s="3">
        <v>0.1</v>
      </c>
      <c r="H65" s="3">
        <v>0.8</v>
      </c>
    </row>
    <row r="66">
      <c r="B66" s="3">
        <v>0.6</v>
      </c>
      <c r="C66" s="3">
        <v>0.5</v>
      </c>
      <c r="D66" s="3">
        <v>1.0</v>
      </c>
      <c r="E66" s="3">
        <v>1.0</v>
      </c>
      <c r="F66" s="3">
        <v>1.0</v>
      </c>
      <c r="G66" s="3">
        <v>0.0</v>
      </c>
      <c r="H66" s="3">
        <v>1.0</v>
      </c>
    </row>
    <row r="67">
      <c r="B67" s="3">
        <v>0.7</v>
      </c>
      <c r="C67" s="3">
        <v>0.6</v>
      </c>
      <c r="D67" s="3">
        <v>2.0</v>
      </c>
      <c r="E67" s="3">
        <v>1.0</v>
      </c>
      <c r="F67" s="3">
        <v>0.5</v>
      </c>
      <c r="G67" s="3">
        <v>0.2</v>
      </c>
      <c r="H67" s="3">
        <v>0.5</v>
      </c>
    </row>
    <row r="68">
      <c r="B68" s="3">
        <v>0.0</v>
      </c>
      <c r="C68" s="3">
        <v>0.0</v>
      </c>
      <c r="D68" s="3">
        <v>10.0</v>
      </c>
      <c r="E68" s="3">
        <v>2.0</v>
      </c>
      <c r="F68" s="3">
        <v>0.3</v>
      </c>
      <c r="G68" s="3">
        <v>0.2</v>
      </c>
      <c r="H68" s="3">
        <v>0.2</v>
      </c>
    </row>
    <row r="69">
      <c r="B69" s="3">
        <v>1.0</v>
      </c>
      <c r="C69" s="3">
        <v>0.9</v>
      </c>
      <c r="D69" s="3">
        <v>11.0</v>
      </c>
      <c r="E69" s="3">
        <v>3.0</v>
      </c>
      <c r="F69" s="3">
        <v>0.3</v>
      </c>
      <c r="G69" s="3">
        <v>0.3</v>
      </c>
      <c r="H69" s="3">
        <v>0.2</v>
      </c>
    </row>
    <row r="70">
      <c r="B70" s="3">
        <v>0.8</v>
      </c>
      <c r="C70" s="3">
        <v>0.6</v>
      </c>
      <c r="D70" s="3">
        <v>8.0</v>
      </c>
      <c r="E70" s="3">
        <v>2.0</v>
      </c>
      <c r="F70" s="3">
        <v>0.3</v>
      </c>
      <c r="G70" s="3">
        <v>0.0</v>
      </c>
      <c r="H70" s="3">
        <v>0.1</v>
      </c>
    </row>
    <row r="71">
      <c r="B71" s="3">
        <v>0.3</v>
      </c>
      <c r="C71" s="3">
        <v>0.2</v>
      </c>
      <c r="D71" s="3">
        <v>14.0</v>
      </c>
      <c r="E71" s="3">
        <v>1.0</v>
      </c>
      <c r="F71" s="3">
        <v>0.6</v>
      </c>
      <c r="G71" s="3">
        <v>0.1</v>
      </c>
      <c r="H71" s="3">
        <v>0.5</v>
      </c>
    </row>
    <row r="72">
      <c r="B72" s="3">
        <v>0.0</v>
      </c>
      <c r="C72" s="3">
        <v>0.0</v>
      </c>
      <c r="D72" s="3">
        <v>4.0</v>
      </c>
      <c r="E72" s="3">
        <v>1.0</v>
      </c>
      <c r="F72" s="3">
        <v>0.5</v>
      </c>
      <c r="G72" s="3">
        <v>0.5</v>
      </c>
      <c r="H72" s="3">
        <v>0.4</v>
      </c>
    </row>
    <row r="73">
      <c r="B73" s="3">
        <v>1.0</v>
      </c>
      <c r="C73" s="3">
        <v>0.8</v>
      </c>
      <c r="D73" s="3">
        <v>10.0</v>
      </c>
      <c r="E73" s="3">
        <v>3.0</v>
      </c>
      <c r="F73" s="3">
        <v>0.6</v>
      </c>
      <c r="G73" s="3">
        <v>0.3</v>
      </c>
      <c r="H73" s="3">
        <v>0.5</v>
      </c>
    </row>
    <row r="74">
      <c r="B74" s="3">
        <v>0.6</v>
      </c>
      <c r="C74" s="3">
        <v>0.5</v>
      </c>
      <c r="D74" s="3">
        <v>18.0</v>
      </c>
      <c r="E74" s="3">
        <v>3.0</v>
      </c>
      <c r="F74" s="3">
        <v>0.2</v>
      </c>
      <c r="G74" s="3">
        <v>0.3</v>
      </c>
      <c r="H74" s="3">
        <v>0.2</v>
      </c>
    </row>
    <row r="75">
      <c r="B75" s="3">
        <v>0.4</v>
      </c>
      <c r="C75" s="3">
        <v>0.2</v>
      </c>
      <c r="D75" s="3">
        <v>31.0</v>
      </c>
      <c r="E75" s="3">
        <v>1.0</v>
      </c>
      <c r="F75" s="3">
        <v>0.6</v>
      </c>
      <c r="G75" s="3">
        <v>0.0</v>
      </c>
      <c r="H75" s="3">
        <v>0.5</v>
      </c>
    </row>
    <row r="76">
      <c r="B76" s="3">
        <v>0.1</v>
      </c>
      <c r="C76" s="3">
        <v>0.0</v>
      </c>
      <c r="D76" s="3">
        <v>6.0</v>
      </c>
      <c r="E76" s="3">
        <v>2.0</v>
      </c>
      <c r="F76" s="3">
        <v>0.0</v>
      </c>
      <c r="G76" s="3">
        <v>0.0</v>
      </c>
      <c r="H76" s="3">
        <v>0.0</v>
      </c>
    </row>
    <row r="77">
      <c r="B77" s="3">
        <v>0.7</v>
      </c>
      <c r="C77" s="3">
        <v>0.4</v>
      </c>
      <c r="D77" s="3">
        <v>20.0</v>
      </c>
      <c r="E77" s="3">
        <v>4.0</v>
      </c>
      <c r="F77" s="3">
        <v>0.6</v>
      </c>
      <c r="G77" s="3">
        <v>0.1</v>
      </c>
      <c r="H77" s="3">
        <v>0.5</v>
      </c>
    </row>
    <row r="78">
      <c r="B78" s="3">
        <v>0.3</v>
      </c>
      <c r="C78" s="3">
        <v>0.2</v>
      </c>
      <c r="D78" s="3">
        <v>7.0</v>
      </c>
      <c r="E78" s="3">
        <v>3.0</v>
      </c>
      <c r="F78" s="3">
        <v>0.9</v>
      </c>
      <c r="G78" s="3">
        <v>0.3</v>
      </c>
      <c r="H78" s="3">
        <v>0.7</v>
      </c>
    </row>
    <row r="79">
      <c r="B79" s="3">
        <v>0.8</v>
      </c>
      <c r="C79" s="3">
        <v>0.5</v>
      </c>
      <c r="D79" s="3">
        <v>6.0</v>
      </c>
      <c r="E79" s="3">
        <v>1.0</v>
      </c>
      <c r="F79" s="3">
        <v>0.8</v>
      </c>
      <c r="G79" s="3">
        <v>0.0</v>
      </c>
      <c r="H79" s="3">
        <v>0.8</v>
      </c>
    </row>
    <row r="80">
      <c r="B80" s="3">
        <v>0.0</v>
      </c>
      <c r="C80" s="3">
        <v>0.0</v>
      </c>
      <c r="D80" s="3">
        <v>23.0</v>
      </c>
      <c r="E80" s="3">
        <v>3.0</v>
      </c>
      <c r="F80" s="3">
        <v>0.4</v>
      </c>
      <c r="G80" s="3">
        <v>0.3</v>
      </c>
      <c r="H80" s="3">
        <v>0.3</v>
      </c>
    </row>
    <row r="81">
      <c r="B81" s="3">
        <v>0.4</v>
      </c>
      <c r="C81" s="3">
        <v>0.3</v>
      </c>
      <c r="D81" s="3">
        <v>3.0</v>
      </c>
      <c r="E81" s="3">
        <v>2.0</v>
      </c>
      <c r="F81" s="3">
        <v>1.0</v>
      </c>
      <c r="G81" s="3">
        <v>0.1</v>
      </c>
      <c r="H81" s="3">
        <v>1.0</v>
      </c>
    </row>
    <row r="82">
      <c r="B82" s="3">
        <v>0.1</v>
      </c>
      <c r="C82" s="3">
        <v>0.1</v>
      </c>
      <c r="D82" s="3">
        <v>13.0</v>
      </c>
      <c r="E82" s="3">
        <v>4.0</v>
      </c>
      <c r="F82" s="3">
        <v>0.4</v>
      </c>
      <c r="G82" s="3">
        <v>0.3</v>
      </c>
      <c r="H82" s="3">
        <v>0.3</v>
      </c>
    </row>
    <row r="83">
      <c r="B83" s="3">
        <v>0.7</v>
      </c>
      <c r="C83" s="3">
        <v>0.5</v>
      </c>
      <c r="D83" s="3">
        <v>4.0</v>
      </c>
      <c r="E83" s="3">
        <v>2.0</v>
      </c>
      <c r="F83" s="3">
        <v>0.8</v>
      </c>
      <c r="G83" s="3">
        <v>0.3</v>
      </c>
      <c r="H83" s="3">
        <v>0.4</v>
      </c>
    </row>
    <row r="84">
      <c r="B84" s="3">
        <v>0.4</v>
      </c>
      <c r="C84" s="3">
        <v>0.3</v>
      </c>
      <c r="D84" s="3">
        <v>7.0</v>
      </c>
      <c r="E84" s="3">
        <v>1.0</v>
      </c>
      <c r="F84" s="3">
        <v>0.0</v>
      </c>
      <c r="G84" s="3">
        <v>0.0</v>
      </c>
      <c r="H84" s="3">
        <v>0.0</v>
      </c>
    </row>
    <row r="85">
      <c r="B85" s="3">
        <v>0.4</v>
      </c>
      <c r="C85" s="3">
        <v>0.3</v>
      </c>
      <c r="D85" s="3">
        <v>5.0</v>
      </c>
      <c r="E85" s="3">
        <v>1.0</v>
      </c>
      <c r="F85" s="3">
        <v>0.2</v>
      </c>
      <c r="G85" s="3">
        <v>0.0</v>
      </c>
      <c r="H85" s="3">
        <v>0.2</v>
      </c>
    </row>
    <row r="86">
      <c r="B86" s="3">
        <v>0.3</v>
      </c>
      <c r="C86" s="3">
        <v>0.1</v>
      </c>
      <c r="D86" s="3">
        <v>23.0</v>
      </c>
      <c r="E86" s="3">
        <v>4.0</v>
      </c>
      <c r="F86" s="3">
        <v>0.5</v>
      </c>
      <c r="G86" s="3">
        <v>0.0</v>
      </c>
      <c r="H86" s="3">
        <v>0.3</v>
      </c>
    </row>
    <row r="87">
      <c r="B87" s="3">
        <v>0.3</v>
      </c>
      <c r="C87" s="3">
        <v>0.2</v>
      </c>
      <c r="D87" s="3">
        <v>7.0</v>
      </c>
      <c r="E87" s="3">
        <v>3.0</v>
      </c>
      <c r="F87" s="3">
        <v>0.9</v>
      </c>
      <c r="G87" s="3">
        <v>0.0</v>
      </c>
      <c r="H87" s="3">
        <v>0.6</v>
      </c>
    </row>
    <row r="88">
      <c r="B88" s="3">
        <v>0.3</v>
      </c>
      <c r="C88" s="3">
        <v>0.2</v>
      </c>
      <c r="D88" s="3">
        <v>2.0</v>
      </c>
      <c r="E88" s="3">
        <v>1.0</v>
      </c>
      <c r="F88" s="3">
        <v>0.0</v>
      </c>
      <c r="G88" s="3">
        <v>0.0</v>
      </c>
      <c r="H88" s="3">
        <v>0.0</v>
      </c>
    </row>
    <row r="89">
      <c r="B89" s="3">
        <v>0.5</v>
      </c>
      <c r="C89" s="3">
        <v>0.3</v>
      </c>
      <c r="D89" s="3">
        <v>4.0</v>
      </c>
      <c r="E89" s="3">
        <v>2.0</v>
      </c>
      <c r="F89" s="3">
        <v>0.0</v>
      </c>
      <c r="G89" s="3">
        <v>0.0</v>
      </c>
      <c r="H89" s="3">
        <v>0.0</v>
      </c>
    </row>
    <row r="90">
      <c r="B90" s="3">
        <v>0.5</v>
      </c>
      <c r="C90" s="3">
        <v>0.3</v>
      </c>
      <c r="D90" s="3">
        <v>11.0</v>
      </c>
      <c r="E90" s="3">
        <v>2.0</v>
      </c>
      <c r="F90" s="3">
        <v>0.4</v>
      </c>
      <c r="G90" s="3">
        <v>0.2</v>
      </c>
      <c r="H90" s="3">
        <v>0.3</v>
      </c>
    </row>
    <row r="91">
      <c r="B91" s="3">
        <v>0.0</v>
      </c>
      <c r="C91" s="3">
        <v>0.0</v>
      </c>
      <c r="D91" s="3">
        <v>12.0</v>
      </c>
      <c r="E91" s="3">
        <v>4.0</v>
      </c>
      <c r="F91" s="3">
        <v>0.5</v>
      </c>
      <c r="G91" s="3">
        <v>0.0</v>
      </c>
      <c r="H91" s="3">
        <v>0.4</v>
      </c>
    </row>
    <row r="92">
      <c r="B92" s="3">
        <v>0.6</v>
      </c>
      <c r="C92" s="3">
        <v>0.6</v>
      </c>
      <c r="D92" s="3">
        <v>21.0</v>
      </c>
      <c r="E92" s="3">
        <v>6.0</v>
      </c>
      <c r="F92" s="3">
        <v>0.8</v>
      </c>
      <c r="G92" s="3">
        <v>0.0</v>
      </c>
      <c r="H92" s="3">
        <v>0.6</v>
      </c>
    </row>
    <row r="93">
      <c r="B93" s="3">
        <v>0.3</v>
      </c>
      <c r="C93" s="3">
        <v>0.3</v>
      </c>
      <c r="D93" s="3">
        <v>4.0</v>
      </c>
      <c r="E93" s="3">
        <v>1.0</v>
      </c>
      <c r="F93" s="3">
        <v>0.3</v>
      </c>
      <c r="G93" s="3">
        <v>0.1</v>
      </c>
      <c r="H93" s="3">
        <v>0.2</v>
      </c>
    </row>
    <row r="94">
      <c r="B94" s="3">
        <v>0.3</v>
      </c>
      <c r="C94" s="3">
        <v>0.1</v>
      </c>
      <c r="D94" s="3">
        <v>3.0</v>
      </c>
      <c r="E94" s="3">
        <v>1.0</v>
      </c>
      <c r="F94" s="3">
        <v>0.7</v>
      </c>
      <c r="G94" s="3">
        <v>0.1</v>
      </c>
      <c r="H94" s="3">
        <v>0.5</v>
      </c>
    </row>
    <row r="95">
      <c r="B95" s="3">
        <v>0.8</v>
      </c>
      <c r="C95" s="3">
        <v>0.6</v>
      </c>
      <c r="D95" s="3">
        <v>4.0</v>
      </c>
      <c r="E95" s="3">
        <v>1.0</v>
      </c>
      <c r="F95" s="3">
        <v>0.5</v>
      </c>
      <c r="G95" s="3">
        <v>0.0</v>
      </c>
      <c r="H95" s="3">
        <v>0.4</v>
      </c>
    </row>
    <row r="96">
      <c r="B96" s="3">
        <v>0.9</v>
      </c>
      <c r="C96" s="3">
        <v>0.8</v>
      </c>
      <c r="D96" s="3">
        <v>7.0</v>
      </c>
      <c r="E96" s="3">
        <v>1.0</v>
      </c>
      <c r="F96" s="3">
        <v>0.1</v>
      </c>
      <c r="G96" s="3">
        <v>0.2</v>
      </c>
      <c r="H96" s="3">
        <v>0.1</v>
      </c>
    </row>
    <row r="97">
      <c r="B97" s="3">
        <v>0.0</v>
      </c>
      <c r="C97" s="3">
        <v>0.0</v>
      </c>
      <c r="D97" s="3">
        <v>9.0</v>
      </c>
      <c r="E97" s="3">
        <v>1.0</v>
      </c>
      <c r="F97" s="3">
        <v>0.9</v>
      </c>
      <c r="G97" s="3">
        <v>0.0</v>
      </c>
      <c r="H97" s="3">
        <v>0.8</v>
      </c>
    </row>
    <row r="98">
      <c r="B98" s="3">
        <v>0.0</v>
      </c>
      <c r="C98" s="3">
        <v>0.0</v>
      </c>
      <c r="D98" s="3">
        <v>6.0</v>
      </c>
      <c r="E98" s="3">
        <v>1.0</v>
      </c>
      <c r="F98" s="3">
        <v>0.5</v>
      </c>
      <c r="G98" s="3">
        <v>0.0</v>
      </c>
      <c r="H98" s="3">
        <v>0.3</v>
      </c>
    </row>
    <row r="99">
      <c r="B99" s="3">
        <v>0.7</v>
      </c>
      <c r="C99" s="3">
        <v>0.4</v>
      </c>
      <c r="D99" s="3">
        <v>10.0</v>
      </c>
      <c r="E99" s="3">
        <v>3.0</v>
      </c>
      <c r="F99" s="3">
        <v>0.6</v>
      </c>
      <c r="G99" s="3">
        <v>0.3</v>
      </c>
      <c r="H99" s="3">
        <v>0.5</v>
      </c>
    </row>
    <row r="100">
      <c r="B100" s="3">
        <v>0.0</v>
      </c>
      <c r="C100" s="3">
        <v>0.0</v>
      </c>
      <c r="D100" s="3">
        <v>10.0</v>
      </c>
      <c r="E100" s="3">
        <v>1.0</v>
      </c>
      <c r="F100" s="3">
        <v>0.2</v>
      </c>
      <c r="G100" s="3">
        <v>0.1</v>
      </c>
      <c r="H100" s="3">
        <v>0.2</v>
      </c>
    </row>
    <row r="101">
      <c r="B101" s="3">
        <v>1.0</v>
      </c>
      <c r="C101" s="3">
        <v>0.8</v>
      </c>
      <c r="D101" s="3">
        <v>2.0</v>
      </c>
      <c r="E101" s="3">
        <v>1.0</v>
      </c>
      <c r="F101" s="3">
        <v>0.5</v>
      </c>
      <c r="G101" s="3">
        <v>0.1</v>
      </c>
      <c r="H101" s="3">
        <v>0.5</v>
      </c>
    </row>
    <row r="102">
      <c r="B102" s="3">
        <v>0.2</v>
      </c>
      <c r="C102" s="3">
        <v>0.2</v>
      </c>
      <c r="D102" s="3">
        <v>30.0</v>
      </c>
      <c r="E102" s="3">
        <v>3.0</v>
      </c>
      <c r="F102" s="3">
        <v>0.4</v>
      </c>
      <c r="G102" s="3">
        <v>0.1</v>
      </c>
      <c r="H102" s="3">
        <v>0.3</v>
      </c>
    </row>
    <row r="103">
      <c r="B103" s="3">
        <v>0.0</v>
      </c>
      <c r="C103" s="3">
        <v>0.0</v>
      </c>
      <c r="D103" s="3">
        <v>18.0</v>
      </c>
      <c r="E103" s="3">
        <v>2.0</v>
      </c>
      <c r="F103" s="3">
        <v>0.6</v>
      </c>
      <c r="G103" s="3">
        <v>0.0</v>
      </c>
      <c r="H103" s="3">
        <v>0.5</v>
      </c>
    </row>
    <row r="104">
      <c r="B104" s="3">
        <v>0.4</v>
      </c>
      <c r="C104" s="3">
        <v>0.3</v>
      </c>
      <c r="D104" s="3">
        <v>14.0</v>
      </c>
      <c r="E104" s="3">
        <v>1.0</v>
      </c>
      <c r="F104" s="3">
        <v>0.9</v>
      </c>
      <c r="G104" s="3">
        <v>0.1</v>
      </c>
      <c r="H104" s="3">
        <v>0.8</v>
      </c>
    </row>
    <row r="105">
      <c r="B105" s="3">
        <v>1.0</v>
      </c>
      <c r="C105" s="3">
        <v>0.9</v>
      </c>
      <c r="D105" s="3">
        <v>16.0</v>
      </c>
      <c r="E105" s="3">
        <v>4.0</v>
      </c>
      <c r="F105" s="3">
        <v>0.6</v>
      </c>
      <c r="G105" s="3">
        <v>0.1</v>
      </c>
      <c r="H105" s="3">
        <v>0.4</v>
      </c>
    </row>
    <row r="106">
      <c r="B106" s="3">
        <v>0.6</v>
      </c>
      <c r="C106" s="3">
        <v>0.5</v>
      </c>
      <c r="D106" s="3">
        <v>36.0</v>
      </c>
      <c r="E106" s="3">
        <v>2.0</v>
      </c>
      <c r="F106" s="3">
        <v>0.6</v>
      </c>
      <c r="G106" s="3">
        <v>0.3</v>
      </c>
      <c r="H106" s="3">
        <v>0.5</v>
      </c>
    </row>
    <row r="107">
      <c r="B107" s="3">
        <v>0.7</v>
      </c>
      <c r="C107" s="3">
        <v>0.5</v>
      </c>
      <c r="D107" s="3">
        <v>5.0</v>
      </c>
      <c r="E107" s="3">
        <v>1.0</v>
      </c>
      <c r="F107" s="3">
        <v>0.4</v>
      </c>
      <c r="G107" s="3">
        <v>0.2</v>
      </c>
      <c r="H107" s="3">
        <v>0.4</v>
      </c>
    </row>
    <row r="108">
      <c r="B108" s="3">
        <v>0.5</v>
      </c>
      <c r="C108" s="3">
        <v>0.3</v>
      </c>
      <c r="D108" s="3">
        <v>5.0</v>
      </c>
      <c r="E108" s="3">
        <v>2.0</v>
      </c>
      <c r="F108" s="3">
        <v>0.2</v>
      </c>
      <c r="G108" s="3">
        <v>0.0</v>
      </c>
      <c r="H108" s="3">
        <v>0.2</v>
      </c>
    </row>
    <row r="109">
      <c r="B109" s="3">
        <v>0.3</v>
      </c>
      <c r="C109" s="3">
        <v>0.2</v>
      </c>
      <c r="D109" s="3">
        <v>18.0</v>
      </c>
      <c r="E109" s="3">
        <v>3.0</v>
      </c>
      <c r="F109" s="3">
        <v>0.9</v>
      </c>
      <c r="G109" s="3">
        <v>0.0</v>
      </c>
      <c r="H109" s="3">
        <v>0.8</v>
      </c>
    </row>
    <row r="110">
      <c r="B110" s="3">
        <v>1.0</v>
      </c>
      <c r="C110" s="3">
        <v>0.9</v>
      </c>
      <c r="D110" s="3">
        <v>22.0</v>
      </c>
      <c r="E110" s="3">
        <v>4.0</v>
      </c>
      <c r="F110" s="3">
        <v>0.4</v>
      </c>
      <c r="G110" s="3">
        <v>0.0</v>
      </c>
      <c r="H110" s="3">
        <v>0.3</v>
      </c>
    </row>
    <row r="111">
      <c r="B111" s="3">
        <v>0.8</v>
      </c>
      <c r="C111" s="3">
        <v>0.7</v>
      </c>
      <c r="D111" s="3">
        <v>24.0</v>
      </c>
      <c r="E111" s="3">
        <v>3.0</v>
      </c>
      <c r="F111" s="3">
        <v>0.6</v>
      </c>
      <c r="G111" s="3">
        <v>0.0</v>
      </c>
      <c r="H111" s="3">
        <v>0.4</v>
      </c>
    </row>
    <row r="112">
      <c r="B112" s="3"/>
      <c r="C112" s="3"/>
      <c r="D112" s="3">
        <v>12.0</v>
      </c>
      <c r="E112" s="3">
        <v>1.0</v>
      </c>
      <c r="F112" s="3">
        <v>0.4</v>
      </c>
      <c r="G112" s="3">
        <v>0.0</v>
      </c>
      <c r="H112" s="3">
        <v>0.4</v>
      </c>
    </row>
    <row r="113">
      <c r="B113" s="3"/>
      <c r="C113" s="3"/>
      <c r="D113" s="3">
        <v>14.0</v>
      </c>
      <c r="E113" s="3">
        <v>2.0</v>
      </c>
      <c r="F113" s="3">
        <v>0.2</v>
      </c>
      <c r="G113" s="3">
        <v>0.0</v>
      </c>
      <c r="H113" s="3">
        <v>0.2</v>
      </c>
    </row>
    <row r="114">
      <c r="B114" s="3"/>
      <c r="C114" s="3"/>
      <c r="D114" s="3">
        <v>31.0</v>
      </c>
      <c r="E114" s="3">
        <v>4.0</v>
      </c>
      <c r="F114" s="3">
        <v>0.1</v>
      </c>
      <c r="G114" s="3">
        <v>0.3</v>
      </c>
      <c r="H114" s="3">
        <v>0.0</v>
      </c>
    </row>
    <row r="115">
      <c r="B115" s="3"/>
      <c r="C115" s="3"/>
      <c r="D115" s="3">
        <v>9.0</v>
      </c>
      <c r="E115" s="3">
        <v>3.0</v>
      </c>
      <c r="F115" s="3">
        <v>0.6</v>
      </c>
      <c r="G115" s="3">
        <v>0.1</v>
      </c>
      <c r="H115" s="3">
        <v>0.5</v>
      </c>
    </row>
    <row r="116">
      <c r="B116" s="3"/>
      <c r="C116" s="3"/>
      <c r="D116" s="3">
        <v>12.0</v>
      </c>
      <c r="E116" s="3">
        <v>3.0</v>
      </c>
      <c r="F116" s="3">
        <v>0.9</v>
      </c>
      <c r="G116" s="3">
        <v>0.2</v>
      </c>
      <c r="H116" s="3">
        <v>0.6</v>
      </c>
    </row>
    <row r="117">
      <c r="B117" s="3"/>
      <c r="C117" s="3"/>
      <c r="D117" s="3">
        <v>2.0</v>
      </c>
      <c r="E117" s="3">
        <v>1.0</v>
      </c>
      <c r="F117" s="3">
        <v>0.5</v>
      </c>
      <c r="G117" s="3">
        <v>0.0</v>
      </c>
      <c r="H117" s="3">
        <v>0.4</v>
      </c>
    </row>
    <row r="118">
      <c r="B118" s="3"/>
      <c r="C118" s="3"/>
      <c r="D118" s="3">
        <v>4.0</v>
      </c>
      <c r="E118" s="3">
        <v>1.0</v>
      </c>
      <c r="F118" s="3">
        <v>0.3</v>
      </c>
      <c r="G118" s="3">
        <v>0.0</v>
      </c>
      <c r="H118" s="3">
        <v>0.3</v>
      </c>
    </row>
    <row r="119">
      <c r="B119" s="3"/>
      <c r="C119" s="3"/>
      <c r="D119" s="3">
        <v>3.0</v>
      </c>
      <c r="E119" s="3">
        <v>1.0</v>
      </c>
      <c r="F119" s="3">
        <v>0.0</v>
      </c>
      <c r="G119" s="3">
        <v>0.1</v>
      </c>
      <c r="H119" s="3">
        <v>0.0</v>
      </c>
    </row>
    <row r="120">
      <c r="B120" s="3"/>
      <c r="C120" s="3"/>
      <c r="D120" s="3">
        <v>19.0</v>
      </c>
      <c r="E120" s="3">
        <v>1.0</v>
      </c>
      <c r="F120" s="3">
        <v>0.8</v>
      </c>
      <c r="G120" s="3">
        <v>0.2</v>
      </c>
      <c r="H120" s="3">
        <v>0.8</v>
      </c>
    </row>
    <row r="121">
      <c r="B121" s="3"/>
      <c r="C121" s="3"/>
      <c r="D121" s="3">
        <v>6.0</v>
      </c>
      <c r="E121" s="3">
        <v>1.0</v>
      </c>
      <c r="F121" s="3">
        <v>0.0</v>
      </c>
      <c r="G121" s="3">
        <v>0.1</v>
      </c>
      <c r="H121" s="3">
        <v>0.0</v>
      </c>
    </row>
    <row r="122">
      <c r="B122" s="3"/>
      <c r="C122" s="3"/>
      <c r="D122" s="3">
        <v>33.0</v>
      </c>
      <c r="E122" s="3">
        <v>2.0</v>
      </c>
      <c r="F122" s="3">
        <v>0.7</v>
      </c>
      <c r="G122" s="3">
        <v>0.0</v>
      </c>
      <c r="H122" s="3">
        <v>0.6</v>
      </c>
    </row>
    <row r="123">
      <c r="B123" s="3"/>
      <c r="C123" s="3"/>
      <c r="D123" s="3">
        <v>4.0</v>
      </c>
      <c r="E123" s="3">
        <v>2.0</v>
      </c>
      <c r="F123" s="3">
        <v>0.8</v>
      </c>
      <c r="G123" s="3"/>
      <c r="H123" s="3">
        <v>0.7</v>
      </c>
    </row>
    <row r="124">
      <c r="B124" s="3"/>
      <c r="C124" s="3"/>
      <c r="D124" s="3">
        <v>1.0</v>
      </c>
      <c r="E124" s="3">
        <v>1.0</v>
      </c>
      <c r="F124" s="3">
        <v>1.0</v>
      </c>
      <c r="G124" s="3"/>
      <c r="H124" s="3">
        <v>0.8</v>
      </c>
    </row>
    <row r="125">
      <c r="B125" s="3"/>
      <c r="C125" s="3"/>
      <c r="D125" s="3">
        <v>14.0</v>
      </c>
      <c r="E125" s="3">
        <v>2.0</v>
      </c>
      <c r="F125" s="3">
        <v>0.6</v>
      </c>
      <c r="G125" s="3"/>
      <c r="H125" s="3">
        <v>0.6</v>
      </c>
    </row>
    <row r="126">
      <c r="B126" s="3"/>
      <c r="C126" s="3"/>
      <c r="D126" s="3">
        <v>15.0</v>
      </c>
      <c r="E126" s="3">
        <v>4.0</v>
      </c>
      <c r="F126" s="3">
        <v>0.0</v>
      </c>
      <c r="G126" s="3"/>
      <c r="H126" s="3">
        <v>0.0</v>
      </c>
    </row>
    <row r="127">
      <c r="B127" s="3"/>
      <c r="C127" s="3"/>
      <c r="D127" s="3">
        <v>29.0</v>
      </c>
      <c r="E127" s="3">
        <v>1.0</v>
      </c>
      <c r="F127" s="3">
        <v>0.3</v>
      </c>
      <c r="G127" s="3"/>
      <c r="H127" s="3">
        <v>0.3</v>
      </c>
    </row>
    <row r="128">
      <c r="B128" s="3"/>
      <c r="C128" s="3"/>
      <c r="D128" s="3">
        <v>23.0</v>
      </c>
      <c r="E128" s="3">
        <v>2.0</v>
      </c>
      <c r="F128" s="3">
        <v>0.3</v>
      </c>
      <c r="G128" s="3"/>
      <c r="H128" s="3">
        <v>0.3</v>
      </c>
    </row>
    <row r="129">
      <c r="B129" s="3"/>
      <c r="C129" s="3"/>
      <c r="D129" s="3">
        <v>17.0</v>
      </c>
      <c r="E129" s="3">
        <v>2.0</v>
      </c>
      <c r="F129" s="3">
        <v>0.4</v>
      </c>
      <c r="G129" s="3"/>
      <c r="H129" s="3">
        <v>0.3</v>
      </c>
    </row>
    <row r="130">
      <c r="B130" s="3"/>
      <c r="C130" s="3"/>
      <c r="D130" s="3">
        <v>13.0</v>
      </c>
      <c r="E130" s="3">
        <v>3.0</v>
      </c>
      <c r="F130" s="3">
        <v>0.6</v>
      </c>
      <c r="G130" s="3"/>
      <c r="H130" s="3">
        <v>0.5</v>
      </c>
    </row>
    <row r="131">
      <c r="B131" s="3"/>
      <c r="C131" s="3"/>
      <c r="D131" s="3">
        <v>11.0</v>
      </c>
      <c r="E131" s="3">
        <v>2.0</v>
      </c>
      <c r="F131" s="3">
        <v>0.0</v>
      </c>
      <c r="G131" s="3"/>
      <c r="H131" s="3">
        <v>0.0</v>
      </c>
    </row>
    <row r="132">
      <c r="B132" s="3"/>
      <c r="C132" s="3"/>
      <c r="D132" s="3">
        <v>7.0</v>
      </c>
      <c r="E132" s="3">
        <v>1.0</v>
      </c>
      <c r="F132" s="3">
        <v>0.1</v>
      </c>
      <c r="G132" s="3"/>
      <c r="H132" s="3">
        <v>0.1</v>
      </c>
    </row>
    <row r="133">
      <c r="B133" s="3"/>
      <c r="C133" s="3"/>
      <c r="D133" s="3"/>
      <c r="E133" s="3"/>
      <c r="F133" s="3"/>
      <c r="G133" s="3"/>
      <c r="H133" s="3"/>
    </row>
    <row r="134">
      <c r="B134" s="3"/>
      <c r="C134" s="3"/>
      <c r="D134" s="3"/>
      <c r="E134" s="3"/>
      <c r="F134" s="3"/>
      <c r="G134" s="3"/>
      <c r="H134" s="3"/>
    </row>
    <row r="135">
      <c r="B135" s="3"/>
      <c r="C135" s="3"/>
      <c r="D135" s="3"/>
      <c r="E135" s="3"/>
      <c r="F135" s="3"/>
      <c r="G135" s="3"/>
      <c r="H135" s="3"/>
    </row>
    <row r="136">
      <c r="B136" s="3"/>
      <c r="C136" s="3"/>
      <c r="D136" s="3"/>
      <c r="E136" s="3"/>
      <c r="F136" s="3"/>
      <c r="G136" s="3"/>
      <c r="H136" s="3"/>
    </row>
    <row r="137">
      <c r="B137" s="3"/>
      <c r="C137" s="3"/>
      <c r="D137" s="3"/>
      <c r="E137" s="3"/>
      <c r="F137" s="3"/>
      <c r="G137" s="3"/>
      <c r="H137" s="3"/>
    </row>
    <row r="138">
      <c r="B138" s="3"/>
      <c r="C138" s="3"/>
      <c r="D138" s="3"/>
      <c r="E138" s="3"/>
      <c r="F138" s="3"/>
      <c r="G138" s="3"/>
      <c r="H138" s="3"/>
    </row>
    <row r="139">
      <c r="B139" s="3"/>
      <c r="C139" s="3"/>
      <c r="D139" s="3"/>
      <c r="E139" s="3"/>
      <c r="F139" s="3"/>
      <c r="G139" s="3"/>
      <c r="H139" s="3"/>
    </row>
    <row r="140">
      <c r="B140" s="3"/>
      <c r="C140" s="3"/>
      <c r="D140" s="3"/>
      <c r="E140" s="3"/>
      <c r="F140" s="3"/>
      <c r="G140" s="3"/>
      <c r="H140" s="3"/>
    </row>
    <row r="141">
      <c r="B141" s="3"/>
      <c r="C141" s="3"/>
      <c r="D141" s="3"/>
      <c r="E141" s="3"/>
      <c r="F141" s="3"/>
      <c r="G141" s="3"/>
      <c r="H141" s="3"/>
    </row>
    <row r="142">
      <c r="B142" s="3"/>
      <c r="C142" s="3"/>
      <c r="D142" s="3"/>
      <c r="E142" s="3"/>
      <c r="F142" s="3"/>
      <c r="G142" s="3"/>
      <c r="H142" s="3"/>
    </row>
    <row r="143">
      <c r="B143" s="3"/>
      <c r="C143" s="3"/>
      <c r="D143" s="3"/>
      <c r="E143" s="3"/>
      <c r="F143" s="3"/>
      <c r="G143" s="3"/>
      <c r="H143" s="3"/>
    </row>
    <row r="144">
      <c r="B144" s="3"/>
      <c r="C144" s="3"/>
      <c r="D144" s="3"/>
      <c r="E144" s="3"/>
      <c r="F144" s="3"/>
      <c r="G144" s="3"/>
      <c r="H144" s="3"/>
    </row>
    <row r="145">
      <c r="B145" s="3"/>
      <c r="C145" s="3"/>
      <c r="D145" s="3"/>
      <c r="E145" s="3"/>
      <c r="F145" s="3"/>
      <c r="G145" s="3"/>
      <c r="H145" s="3"/>
    </row>
    <row r="146">
      <c r="B146" s="3"/>
      <c r="C146" s="3"/>
      <c r="D146" s="3"/>
      <c r="E146" s="3"/>
      <c r="F146" s="3"/>
      <c r="G146" s="3"/>
      <c r="H146" s="3"/>
    </row>
    <row r="147">
      <c r="B147" s="3"/>
      <c r="C147" s="3"/>
      <c r="D147" s="3"/>
      <c r="E147" s="3"/>
      <c r="F147" s="3"/>
      <c r="G147" s="3"/>
      <c r="H147" s="3"/>
    </row>
    <row r="148">
      <c r="B148" s="3"/>
      <c r="C148" s="3"/>
      <c r="D148" s="3"/>
      <c r="E148" s="3"/>
      <c r="F148" s="3"/>
      <c r="G148" s="3"/>
      <c r="H148" s="3"/>
    </row>
    <row r="149">
      <c r="B149" s="3"/>
      <c r="C149" s="3"/>
      <c r="D149" s="3"/>
      <c r="E149" s="3"/>
      <c r="F149" s="3"/>
      <c r="G149" s="3"/>
      <c r="H149" s="3"/>
    </row>
    <row r="150">
      <c r="B150" s="3"/>
      <c r="C150" s="3"/>
      <c r="D150" s="3"/>
      <c r="E150" s="3"/>
      <c r="F150" s="3"/>
      <c r="G150" s="3"/>
      <c r="H150" s="3"/>
    </row>
    <row r="151">
      <c r="B151" s="3"/>
      <c r="C151" s="3"/>
      <c r="D151" s="3"/>
      <c r="E151" s="3"/>
      <c r="F151" s="3"/>
      <c r="G151" s="3"/>
      <c r="H151" s="3"/>
    </row>
    <row r="152">
      <c r="B152" s="3"/>
      <c r="C152" s="3"/>
      <c r="D152" s="3"/>
      <c r="E152" s="3"/>
      <c r="F152" s="3"/>
      <c r="G152" s="3"/>
      <c r="H152" s="3"/>
    </row>
    <row r="153">
      <c r="B153" s="3"/>
      <c r="C153" s="3"/>
      <c r="D153" s="3"/>
      <c r="E153" s="3"/>
      <c r="F153" s="3"/>
      <c r="G153" s="3"/>
      <c r="H153" s="3"/>
    </row>
    <row r="154">
      <c r="B154" s="3"/>
      <c r="C154" s="3"/>
      <c r="D154" s="3"/>
      <c r="E154" s="3"/>
      <c r="F154" s="3"/>
      <c r="G154" s="3"/>
      <c r="H154" s="3"/>
    </row>
    <row r="155">
      <c r="B155" s="3"/>
      <c r="C155" s="3"/>
      <c r="D155" s="3"/>
      <c r="E155" s="3"/>
      <c r="F155" s="3"/>
      <c r="G155" s="3"/>
      <c r="H155" s="3"/>
    </row>
    <row r="156">
      <c r="B156" s="3"/>
      <c r="C156" s="3"/>
      <c r="D156" s="3"/>
      <c r="E156" s="3"/>
      <c r="F156" s="3"/>
      <c r="G156" s="3"/>
      <c r="H156" s="3"/>
    </row>
    <row r="157">
      <c r="B157" s="3"/>
      <c r="C157" s="3"/>
      <c r="D157" s="3"/>
      <c r="E157" s="3"/>
      <c r="F157" s="3"/>
      <c r="G157" s="3"/>
      <c r="H157" s="3"/>
    </row>
    <row r="158">
      <c r="B158" s="3"/>
      <c r="C158" s="3"/>
      <c r="D158" s="3"/>
      <c r="E158" s="3"/>
      <c r="F158" s="3"/>
      <c r="G158" s="3"/>
      <c r="H158" s="3"/>
    </row>
    <row r="159">
      <c r="B159" s="3"/>
      <c r="C159" s="3"/>
      <c r="D159" s="3"/>
      <c r="E159" s="3"/>
      <c r="F159" s="3"/>
      <c r="G159" s="3"/>
      <c r="H159" s="3"/>
    </row>
    <row r="160">
      <c r="B160" s="3"/>
      <c r="C160" s="3"/>
      <c r="D160" s="3"/>
      <c r="E160" s="3"/>
      <c r="F160" s="3"/>
      <c r="G160" s="3"/>
      <c r="H160" s="3"/>
    </row>
    <row r="161">
      <c r="B161" s="3"/>
      <c r="C161" s="3"/>
      <c r="D161" s="3"/>
      <c r="E161" s="3"/>
      <c r="F161" s="3"/>
      <c r="G161" s="3"/>
      <c r="H161" s="3"/>
    </row>
    <row r="162">
      <c r="B162" s="3"/>
      <c r="C162" s="3"/>
      <c r="D162" s="3"/>
      <c r="E162" s="3"/>
      <c r="F162" s="3"/>
      <c r="G162" s="3"/>
      <c r="H162" s="3"/>
    </row>
    <row r="163">
      <c r="B163" s="3"/>
      <c r="C163" s="3"/>
      <c r="D163" s="3"/>
      <c r="E163" s="3"/>
      <c r="F163" s="3"/>
      <c r="G163" s="3"/>
      <c r="H163" s="3"/>
    </row>
    <row r="164">
      <c r="B164" s="3"/>
      <c r="C164" s="3"/>
      <c r="D164" s="3"/>
      <c r="E164" s="3"/>
      <c r="F164" s="3"/>
      <c r="G164" s="3"/>
      <c r="H164" s="3"/>
    </row>
    <row r="165">
      <c r="B165" s="3"/>
      <c r="C165" s="3"/>
      <c r="D165" s="3"/>
      <c r="E165" s="3"/>
      <c r="F165" s="3"/>
      <c r="G165" s="3"/>
      <c r="H165" s="3"/>
    </row>
    <row r="166">
      <c r="B166" s="3"/>
      <c r="C166" s="3"/>
      <c r="D166" s="3"/>
      <c r="E166" s="3"/>
      <c r="F166" s="3"/>
      <c r="G166" s="3"/>
      <c r="H166" s="3"/>
    </row>
    <row r="167">
      <c r="B167" s="3"/>
      <c r="C167" s="3"/>
      <c r="D167" s="3"/>
      <c r="E167" s="3"/>
      <c r="F167" s="3"/>
      <c r="G167" s="3"/>
      <c r="H167" s="3"/>
    </row>
    <row r="168">
      <c r="B168" s="3"/>
      <c r="C168" s="3"/>
      <c r="D168" s="3"/>
      <c r="E168" s="3"/>
      <c r="F168" s="3"/>
      <c r="G168" s="3"/>
      <c r="H168" s="3"/>
    </row>
    <row r="169">
      <c r="B169" s="3"/>
      <c r="C169" s="3"/>
      <c r="D169" s="3"/>
      <c r="E169" s="3"/>
      <c r="F169" s="3"/>
      <c r="G169" s="3"/>
      <c r="H169" s="3"/>
    </row>
    <row r="170">
      <c r="B170" s="3"/>
      <c r="C170" s="3"/>
      <c r="D170" s="3"/>
      <c r="E170" s="3"/>
      <c r="F170" s="3"/>
      <c r="G170" s="3"/>
      <c r="H170" s="3"/>
    </row>
    <row r="171">
      <c r="B171" s="3"/>
      <c r="C171" s="3"/>
      <c r="D171" s="3"/>
      <c r="E171" s="3"/>
      <c r="F171" s="3"/>
      <c r="G171" s="3"/>
      <c r="H171" s="3"/>
    </row>
    <row r="172">
      <c r="B172" s="3"/>
      <c r="C172" s="3"/>
      <c r="D172" s="3"/>
      <c r="E172" s="3"/>
      <c r="F172" s="3"/>
      <c r="G172" s="3"/>
      <c r="H172" s="3"/>
    </row>
    <row r="173">
      <c r="B173" s="3"/>
      <c r="C173" s="3"/>
      <c r="D173" s="3"/>
      <c r="E173" s="3"/>
      <c r="F173" s="3"/>
      <c r="G173" s="3"/>
      <c r="H173" s="3"/>
    </row>
    <row r="174">
      <c r="B174" s="3"/>
      <c r="C174" s="3"/>
      <c r="D174" s="3"/>
      <c r="E174" s="3"/>
      <c r="F174" s="3"/>
      <c r="G174" s="3"/>
      <c r="H174" s="3"/>
    </row>
    <row r="175">
      <c r="B175" s="3"/>
      <c r="C175" s="3"/>
      <c r="D175" s="3"/>
      <c r="E175" s="3"/>
      <c r="F175" s="3"/>
      <c r="G175" s="3"/>
      <c r="H175" s="3"/>
    </row>
    <row r="176">
      <c r="B176" s="3"/>
      <c r="C176" s="3"/>
      <c r="D176" s="3"/>
      <c r="E176" s="3"/>
      <c r="F176" s="3"/>
      <c r="G176" s="3"/>
      <c r="H176" s="3"/>
    </row>
    <row r="177">
      <c r="B177" s="3"/>
      <c r="C177" s="3"/>
      <c r="D177" s="3"/>
      <c r="E177" s="3"/>
      <c r="F177" s="3"/>
      <c r="G177" s="3"/>
      <c r="H177" s="3"/>
    </row>
    <row r="178">
      <c r="B178" s="3"/>
      <c r="C178" s="3"/>
      <c r="D178" s="3"/>
      <c r="E178" s="3"/>
      <c r="F178" s="3"/>
      <c r="G178" s="3"/>
      <c r="H178" s="3"/>
    </row>
    <row r="179">
      <c r="B179" s="3"/>
      <c r="C179" s="3"/>
      <c r="D179" s="3"/>
      <c r="E179" s="3"/>
      <c r="F179" s="3"/>
      <c r="G179" s="3"/>
      <c r="H179" s="3"/>
    </row>
    <row r="180">
      <c r="B180" s="3"/>
      <c r="C180" s="3"/>
      <c r="D180" s="3"/>
      <c r="E180" s="3"/>
      <c r="F180" s="3"/>
      <c r="G180" s="3"/>
      <c r="H180" s="3"/>
    </row>
    <row r="181">
      <c r="B181" s="3"/>
      <c r="C181" s="3"/>
      <c r="D181" s="3"/>
      <c r="E181" s="3"/>
      <c r="F181" s="3"/>
      <c r="G181" s="3"/>
      <c r="H181" s="3"/>
    </row>
    <row r="182">
      <c r="B182" s="3"/>
      <c r="C182" s="3"/>
      <c r="D182" s="3"/>
      <c r="E182" s="3"/>
      <c r="F182" s="3"/>
      <c r="G182" s="3"/>
      <c r="H182" s="3"/>
    </row>
    <row r="183">
      <c r="B183" s="3"/>
      <c r="C183" s="3"/>
      <c r="D183" s="3"/>
      <c r="E183" s="3"/>
      <c r="F183" s="3"/>
      <c r="G183" s="3"/>
      <c r="H183" s="3"/>
    </row>
    <row r="184">
      <c r="B184" s="3"/>
      <c r="C184" s="3"/>
      <c r="D184" s="3"/>
      <c r="E184" s="3"/>
      <c r="F184" s="3"/>
      <c r="G184" s="3"/>
      <c r="H184" s="3"/>
    </row>
    <row r="185">
      <c r="B185" s="3"/>
      <c r="C185" s="3"/>
      <c r="D185" s="3"/>
      <c r="E185" s="3"/>
      <c r="F185" s="3"/>
      <c r="G185" s="3"/>
      <c r="H185" s="3"/>
    </row>
    <row r="186">
      <c r="B186" s="3"/>
      <c r="C186" s="3"/>
      <c r="D186" s="3"/>
      <c r="E186" s="3"/>
      <c r="F186" s="3"/>
      <c r="G186" s="3"/>
      <c r="H186" s="3"/>
    </row>
    <row r="187">
      <c r="B187" s="3"/>
      <c r="C187" s="3"/>
      <c r="D187" s="3"/>
      <c r="E187" s="3"/>
      <c r="F187" s="3"/>
      <c r="G187" s="3"/>
      <c r="H187" s="3"/>
    </row>
    <row r="188">
      <c r="B188" s="3"/>
      <c r="C188" s="3"/>
      <c r="D188" s="3"/>
      <c r="E188" s="3"/>
      <c r="F188" s="3"/>
      <c r="G188" s="3"/>
      <c r="H188" s="3"/>
    </row>
    <row r="189">
      <c r="B189" s="3"/>
      <c r="C189" s="3"/>
      <c r="D189" s="3"/>
      <c r="E189" s="3"/>
      <c r="F189" s="3"/>
      <c r="G189" s="3"/>
      <c r="H189" s="3"/>
    </row>
    <row r="190">
      <c r="B190" s="3"/>
      <c r="C190" s="3"/>
      <c r="D190" s="3"/>
      <c r="E190" s="3"/>
      <c r="F190" s="3"/>
      <c r="G190" s="3"/>
      <c r="H190" s="3"/>
    </row>
    <row r="191">
      <c r="B191" s="3"/>
      <c r="C191" s="3"/>
      <c r="D191" s="3"/>
      <c r="E191" s="3"/>
      <c r="F191" s="3"/>
      <c r="G191" s="3"/>
      <c r="H191" s="3"/>
    </row>
    <row r="192">
      <c r="B192" s="3"/>
      <c r="C192" s="3"/>
      <c r="D192" s="3"/>
      <c r="E192" s="3"/>
      <c r="F192" s="3"/>
      <c r="G192" s="3"/>
      <c r="H192" s="3"/>
    </row>
    <row r="193">
      <c r="B193" s="3"/>
      <c r="C193" s="3"/>
      <c r="D193" s="3"/>
      <c r="E193" s="3"/>
      <c r="F193" s="3"/>
      <c r="G193" s="3"/>
      <c r="H193" s="3"/>
    </row>
    <row r="194">
      <c r="B194" s="3"/>
      <c r="C194" s="3"/>
      <c r="D194" s="3"/>
      <c r="E194" s="3"/>
      <c r="F194" s="3"/>
      <c r="G194" s="3"/>
      <c r="H194" s="3"/>
    </row>
    <row r="195">
      <c r="B195" s="3"/>
      <c r="C195" s="3"/>
      <c r="D195" s="3"/>
      <c r="E195" s="3"/>
      <c r="F195" s="3"/>
      <c r="G195" s="3"/>
      <c r="H195" s="3"/>
    </row>
    <row r="196">
      <c r="B196" s="3"/>
      <c r="C196" s="3"/>
      <c r="D196" s="3"/>
      <c r="E196" s="3"/>
      <c r="F196" s="3"/>
      <c r="G196" s="3"/>
      <c r="H196" s="3"/>
    </row>
    <row r="197">
      <c r="B197" s="3"/>
      <c r="C197" s="3"/>
      <c r="D197" s="3"/>
      <c r="E197" s="3"/>
      <c r="F197" s="3"/>
      <c r="G197" s="3"/>
      <c r="H197" s="3"/>
    </row>
    <row r="198">
      <c r="B198" s="3"/>
      <c r="C198" s="3"/>
      <c r="D198" s="3"/>
      <c r="E198" s="3"/>
      <c r="F198" s="3"/>
      <c r="G198" s="3"/>
      <c r="H198" s="3"/>
    </row>
    <row r="199">
      <c r="B199" s="3"/>
      <c r="C199" s="3"/>
      <c r="D199" s="3"/>
      <c r="E199" s="3"/>
      <c r="F199" s="3"/>
      <c r="G199" s="3"/>
      <c r="H199" s="3"/>
    </row>
    <row r="200">
      <c r="B200" s="3"/>
      <c r="C200" s="3"/>
      <c r="D200" s="3"/>
      <c r="E200" s="3"/>
      <c r="F200" s="3"/>
      <c r="G200" s="3"/>
      <c r="H200" s="3"/>
    </row>
    <row r="201">
      <c r="B201" s="3"/>
      <c r="C201" s="3"/>
      <c r="D201" s="3"/>
      <c r="E201" s="3"/>
      <c r="F201" s="3"/>
      <c r="G201" s="3"/>
      <c r="H201" s="3"/>
    </row>
    <row r="202">
      <c r="B202" s="3"/>
      <c r="C202" s="3"/>
      <c r="D202" s="3"/>
      <c r="E202" s="3"/>
      <c r="F202" s="3"/>
      <c r="G202" s="3"/>
      <c r="H202" s="3"/>
    </row>
    <row r="203">
      <c r="B203" s="3"/>
      <c r="C203" s="3"/>
      <c r="D203" s="3"/>
      <c r="E203" s="3"/>
      <c r="F203" s="3"/>
      <c r="G203" s="3"/>
      <c r="H203" s="3"/>
    </row>
    <row r="204">
      <c r="B204" s="3"/>
      <c r="C204" s="3"/>
      <c r="D204" s="3"/>
      <c r="E204" s="3"/>
      <c r="F204" s="3"/>
      <c r="G204" s="3"/>
      <c r="H204" s="3"/>
    </row>
    <row r="205">
      <c r="B205" s="3"/>
      <c r="C205" s="3"/>
      <c r="D205" s="3"/>
      <c r="E205" s="3"/>
      <c r="F205" s="3"/>
      <c r="G205" s="3"/>
      <c r="H205" s="3"/>
    </row>
    <row r="206">
      <c r="B206" s="3"/>
      <c r="C206" s="3"/>
      <c r="D206" s="3"/>
      <c r="E206" s="3"/>
      <c r="F206" s="3"/>
      <c r="G206" s="3"/>
      <c r="H206" s="3"/>
    </row>
    <row r="207">
      <c r="B207" s="3"/>
      <c r="C207" s="3"/>
      <c r="D207" s="3"/>
      <c r="E207" s="3"/>
      <c r="F207" s="3"/>
      <c r="G207" s="3"/>
      <c r="H207" s="3"/>
    </row>
    <row r="208">
      <c r="B208" s="3"/>
      <c r="C208" s="3"/>
      <c r="D208" s="3"/>
      <c r="E208" s="3"/>
      <c r="F208" s="3"/>
      <c r="G208" s="3"/>
      <c r="H208" s="3"/>
    </row>
    <row r="209">
      <c r="B209" s="3"/>
      <c r="C209" s="3"/>
      <c r="D209" s="3"/>
      <c r="E209" s="3"/>
      <c r="F209" s="3"/>
      <c r="G209" s="3"/>
      <c r="H209" s="3"/>
    </row>
    <row r="210">
      <c r="B210" s="3"/>
      <c r="C210" s="3"/>
      <c r="D210" s="3"/>
      <c r="E210" s="3"/>
      <c r="F210" s="3"/>
      <c r="G210" s="3"/>
      <c r="H210" s="3"/>
    </row>
    <row r="211">
      <c r="B211" s="3"/>
      <c r="C211" s="3"/>
      <c r="D211" s="3"/>
      <c r="E211" s="3"/>
      <c r="F211" s="3"/>
      <c r="G211" s="3"/>
      <c r="H211" s="3"/>
    </row>
    <row r="212">
      <c r="B212" s="3"/>
      <c r="C212" s="3"/>
      <c r="D212" s="3"/>
      <c r="E212" s="3"/>
      <c r="F212" s="3"/>
      <c r="G212" s="3"/>
      <c r="H212" s="3"/>
    </row>
    <row r="213">
      <c r="B213" s="3"/>
      <c r="C213" s="3"/>
      <c r="D213" s="3"/>
      <c r="E213" s="3"/>
      <c r="F213" s="3"/>
      <c r="G213" s="3"/>
      <c r="H213" s="3"/>
    </row>
    <row r="214">
      <c r="B214" s="3"/>
      <c r="C214" s="3"/>
      <c r="D214" s="3"/>
      <c r="E214" s="3"/>
      <c r="F214" s="3"/>
      <c r="G214" s="3"/>
      <c r="H214" s="3"/>
    </row>
    <row r="215">
      <c r="B215" s="3"/>
      <c r="C215" s="3"/>
      <c r="D215" s="3"/>
      <c r="E215" s="3"/>
      <c r="F215" s="3"/>
      <c r="G215" s="3"/>
      <c r="H215" s="3"/>
    </row>
    <row r="216">
      <c r="B216" s="3"/>
      <c r="C216" s="3"/>
      <c r="D216" s="3"/>
      <c r="E216" s="3"/>
      <c r="F216" s="3"/>
      <c r="G216" s="3"/>
      <c r="H216" s="3"/>
    </row>
    <row r="217">
      <c r="B217" s="3"/>
      <c r="C217" s="3"/>
      <c r="D217" s="3"/>
      <c r="E217" s="3"/>
      <c r="F217" s="3"/>
      <c r="G217" s="3"/>
      <c r="H217" s="3"/>
    </row>
    <row r="218">
      <c r="B218" s="3"/>
      <c r="C218" s="3"/>
      <c r="D218" s="3"/>
      <c r="E218" s="3"/>
      <c r="F218" s="3"/>
      <c r="G218" s="3"/>
      <c r="H218" s="3"/>
    </row>
    <row r="219">
      <c r="B219" s="3"/>
      <c r="C219" s="3"/>
      <c r="D219" s="3"/>
      <c r="E219" s="3"/>
      <c r="F219" s="3"/>
      <c r="G219" s="3"/>
      <c r="H219" s="3"/>
    </row>
    <row r="220">
      <c r="B220" s="3"/>
      <c r="C220" s="3"/>
      <c r="D220" s="3"/>
      <c r="E220" s="3"/>
      <c r="F220" s="3"/>
      <c r="G220" s="3"/>
      <c r="H220" s="3"/>
    </row>
    <row r="221">
      <c r="B221" s="3"/>
      <c r="C221" s="3"/>
      <c r="D221" s="3"/>
      <c r="E221" s="3"/>
      <c r="F221" s="3"/>
      <c r="G221" s="3"/>
      <c r="H221" s="3"/>
    </row>
    <row r="222">
      <c r="B222" s="3"/>
      <c r="C222" s="3"/>
      <c r="D222" s="3"/>
      <c r="E222" s="3"/>
      <c r="F222" s="3"/>
      <c r="G222" s="3"/>
      <c r="H222" s="3"/>
    </row>
    <row r="223">
      <c r="B223" s="3"/>
      <c r="C223" s="3"/>
      <c r="D223" s="3"/>
      <c r="E223" s="3"/>
      <c r="F223" s="3"/>
      <c r="G223" s="3"/>
      <c r="H223" s="3"/>
    </row>
    <row r="224">
      <c r="B224" s="3"/>
      <c r="C224" s="3"/>
      <c r="D224" s="3"/>
      <c r="E224" s="3"/>
      <c r="F224" s="3"/>
      <c r="G224" s="3"/>
      <c r="H224" s="3"/>
    </row>
    <row r="225">
      <c r="B225" s="3"/>
      <c r="C225" s="3"/>
      <c r="D225" s="3"/>
      <c r="E225" s="3"/>
      <c r="F225" s="3"/>
      <c r="G225" s="3"/>
      <c r="H225" s="3"/>
    </row>
    <row r="226">
      <c r="B226" s="3"/>
      <c r="C226" s="3"/>
      <c r="D226" s="3"/>
      <c r="E226" s="3"/>
      <c r="F226" s="3"/>
      <c r="G226" s="3"/>
      <c r="H226" s="3"/>
    </row>
    <row r="227">
      <c r="B227" s="3"/>
      <c r="C227" s="3"/>
      <c r="D227" s="3"/>
      <c r="E227" s="3"/>
      <c r="F227" s="3"/>
      <c r="G227" s="3"/>
      <c r="H227" s="3"/>
    </row>
    <row r="228">
      <c r="B228" s="3"/>
      <c r="C228" s="3"/>
      <c r="D228" s="3"/>
      <c r="E228" s="3"/>
      <c r="F228" s="3"/>
      <c r="G228" s="3"/>
      <c r="H228" s="3"/>
    </row>
    <row r="229">
      <c r="B229" s="3"/>
      <c r="C229" s="3"/>
      <c r="D229" s="3"/>
      <c r="E229" s="3"/>
      <c r="F229" s="3"/>
      <c r="G229" s="3"/>
      <c r="H229" s="3"/>
    </row>
    <row r="230">
      <c r="B230" s="3"/>
      <c r="C230" s="3"/>
      <c r="D230" s="3"/>
      <c r="E230" s="3"/>
      <c r="F230" s="3"/>
      <c r="G230" s="3"/>
      <c r="H230" s="3"/>
    </row>
    <row r="231">
      <c r="B231" s="3"/>
      <c r="C231" s="3"/>
      <c r="D231" s="3"/>
      <c r="E231" s="3"/>
      <c r="F231" s="3"/>
      <c r="G231" s="3"/>
      <c r="H231" s="3"/>
    </row>
    <row r="232">
      <c r="B232" s="3"/>
      <c r="C232" s="3"/>
      <c r="D232" s="3"/>
      <c r="E232" s="3"/>
      <c r="F232" s="3"/>
      <c r="G232" s="3"/>
      <c r="H232" s="3"/>
    </row>
    <row r="233">
      <c r="B233" s="3"/>
      <c r="C233" s="3"/>
      <c r="D233" s="3"/>
      <c r="E233" s="3"/>
      <c r="F233" s="3"/>
      <c r="G233" s="3"/>
      <c r="H233" s="3"/>
    </row>
    <row r="234">
      <c r="B234" s="3"/>
      <c r="C234" s="3"/>
      <c r="D234" s="3"/>
      <c r="E234" s="3"/>
      <c r="F234" s="3"/>
      <c r="G234" s="3"/>
      <c r="H234" s="3"/>
    </row>
    <row r="235">
      <c r="B235" s="3"/>
      <c r="C235" s="3"/>
      <c r="D235" s="3"/>
      <c r="E235" s="3"/>
      <c r="F235" s="3"/>
      <c r="G235" s="3"/>
      <c r="H235" s="3"/>
    </row>
    <row r="236">
      <c r="B236" s="3"/>
      <c r="C236" s="3"/>
      <c r="D236" s="3"/>
      <c r="E236" s="3"/>
      <c r="F236" s="3"/>
      <c r="G236" s="3"/>
      <c r="H236" s="3"/>
    </row>
    <row r="237">
      <c r="B237" s="3"/>
      <c r="C237" s="3"/>
      <c r="D237" s="3"/>
      <c r="E237" s="3"/>
      <c r="F237" s="3"/>
      <c r="G237" s="3"/>
      <c r="H237" s="3"/>
    </row>
    <row r="238">
      <c r="B238" s="3"/>
      <c r="C238" s="3"/>
      <c r="D238" s="3"/>
      <c r="E238" s="3"/>
      <c r="F238" s="3"/>
      <c r="G238" s="3"/>
      <c r="H238" s="3"/>
    </row>
    <row r="239">
      <c r="B239" s="3"/>
      <c r="C239" s="3"/>
      <c r="D239" s="3"/>
      <c r="E239" s="3"/>
      <c r="F239" s="3"/>
      <c r="G239" s="3"/>
      <c r="H239" s="3"/>
    </row>
    <row r="240">
      <c r="B240" s="3"/>
      <c r="C240" s="3"/>
      <c r="D240" s="3"/>
      <c r="E240" s="3"/>
      <c r="F240" s="3"/>
      <c r="G240" s="3"/>
      <c r="H240" s="3"/>
    </row>
    <row r="241">
      <c r="B241" s="3"/>
      <c r="C241" s="3"/>
      <c r="D241" s="3"/>
      <c r="E241" s="3"/>
      <c r="F241" s="3"/>
      <c r="G241" s="3"/>
      <c r="H241" s="3"/>
    </row>
    <row r="242">
      <c r="B242" s="3"/>
      <c r="C242" s="3"/>
      <c r="D242" s="3"/>
      <c r="E242" s="3"/>
      <c r="F242" s="3"/>
      <c r="G242" s="3"/>
      <c r="H242" s="3"/>
    </row>
    <row r="243">
      <c r="B243" s="3"/>
      <c r="C243" s="3"/>
      <c r="D243" s="3"/>
      <c r="E243" s="3"/>
      <c r="F243" s="3"/>
      <c r="G243" s="3"/>
      <c r="H243" s="3"/>
    </row>
    <row r="244">
      <c r="B244" s="3"/>
      <c r="C244" s="3"/>
      <c r="D244" s="3"/>
      <c r="E244" s="3"/>
      <c r="F244" s="3"/>
      <c r="G244" s="3"/>
      <c r="H244" s="3"/>
    </row>
    <row r="245">
      <c r="B245" s="3"/>
      <c r="C245" s="3"/>
      <c r="D245" s="3"/>
      <c r="E245" s="3"/>
      <c r="F245" s="3"/>
      <c r="G245" s="3"/>
      <c r="H245" s="3"/>
    </row>
    <row r="246">
      <c r="B246" s="3"/>
      <c r="C246" s="3"/>
      <c r="D246" s="3"/>
      <c r="E246" s="3"/>
      <c r="F246" s="3"/>
      <c r="G246" s="3"/>
      <c r="H246" s="3"/>
    </row>
    <row r="247">
      <c r="B247" s="3"/>
      <c r="C247" s="3"/>
      <c r="D247" s="3"/>
      <c r="E247" s="3"/>
      <c r="F247" s="3"/>
      <c r="G247" s="3"/>
      <c r="H247" s="3"/>
    </row>
    <row r="248">
      <c r="B248" s="3"/>
      <c r="C248" s="3"/>
      <c r="D248" s="3"/>
      <c r="E248" s="3"/>
      <c r="F248" s="3"/>
      <c r="G248" s="3"/>
      <c r="H248" s="3"/>
    </row>
    <row r="249">
      <c r="B249" s="3"/>
      <c r="C249" s="3"/>
      <c r="D249" s="3"/>
      <c r="E249" s="3"/>
      <c r="F249" s="3"/>
      <c r="G249" s="3"/>
      <c r="H249" s="3"/>
    </row>
    <row r="250">
      <c r="B250" s="3"/>
      <c r="C250" s="3"/>
      <c r="D250" s="3"/>
      <c r="E250" s="3"/>
      <c r="F250" s="3"/>
      <c r="G250" s="3"/>
      <c r="H250" s="3"/>
    </row>
    <row r="251">
      <c r="B251" s="3"/>
      <c r="C251" s="3"/>
      <c r="D251" s="3"/>
      <c r="E251" s="3"/>
      <c r="F251" s="3"/>
      <c r="G251" s="3"/>
      <c r="H251" s="3"/>
    </row>
    <row r="252">
      <c r="B252" s="3"/>
      <c r="C252" s="3"/>
      <c r="D252" s="3"/>
      <c r="E252" s="3"/>
      <c r="F252" s="3"/>
      <c r="G252" s="3"/>
      <c r="H252" s="3"/>
    </row>
    <row r="253">
      <c r="B253" s="3"/>
      <c r="C253" s="3"/>
      <c r="D253" s="3"/>
      <c r="E253" s="3"/>
      <c r="F253" s="3"/>
      <c r="G253" s="3"/>
      <c r="H253" s="3"/>
    </row>
    <row r="254">
      <c r="B254" s="3"/>
      <c r="C254" s="3"/>
      <c r="D254" s="3"/>
      <c r="E254" s="3"/>
      <c r="F254" s="3"/>
      <c r="G254" s="3"/>
      <c r="H254" s="3"/>
    </row>
    <row r="255">
      <c r="B255" s="3"/>
      <c r="C255" s="3"/>
      <c r="D255" s="3"/>
      <c r="E255" s="3"/>
      <c r="F255" s="3"/>
      <c r="G255" s="3"/>
      <c r="H255" s="3"/>
    </row>
    <row r="256">
      <c r="B256" s="3"/>
      <c r="C256" s="3"/>
      <c r="D256" s="3"/>
      <c r="E256" s="3"/>
      <c r="F256" s="3"/>
      <c r="G256" s="3"/>
      <c r="H256" s="3"/>
    </row>
    <row r="257">
      <c r="B257" s="3"/>
      <c r="C257" s="3"/>
      <c r="D257" s="3"/>
      <c r="E257" s="3"/>
      <c r="F257" s="3"/>
      <c r="G257" s="3"/>
      <c r="H257" s="3"/>
    </row>
    <row r="258">
      <c r="B258" s="3"/>
      <c r="C258" s="3"/>
      <c r="D258" s="3"/>
      <c r="E258" s="3"/>
      <c r="F258" s="3"/>
      <c r="G258" s="3"/>
      <c r="H258" s="3"/>
    </row>
    <row r="259">
      <c r="B259" s="3"/>
      <c r="C259" s="3"/>
      <c r="D259" s="3"/>
      <c r="E259" s="3"/>
      <c r="F259" s="3"/>
      <c r="G259" s="3"/>
      <c r="H259" s="3"/>
    </row>
    <row r="260">
      <c r="B260" s="3"/>
      <c r="C260" s="3"/>
      <c r="D260" s="3"/>
      <c r="E260" s="3"/>
      <c r="F260" s="3"/>
      <c r="G260" s="3"/>
      <c r="H260" s="3"/>
    </row>
    <row r="261">
      <c r="B261" s="3"/>
      <c r="C261" s="3"/>
      <c r="D261" s="3"/>
      <c r="E261" s="3"/>
      <c r="F261" s="3"/>
      <c r="G261" s="3"/>
      <c r="H261" s="3"/>
    </row>
    <row r="262">
      <c r="B262" s="3"/>
      <c r="C262" s="3"/>
      <c r="D262" s="3"/>
      <c r="E262" s="3"/>
      <c r="F262" s="3"/>
      <c r="G262" s="3"/>
      <c r="H262" s="3"/>
    </row>
    <row r="263">
      <c r="B263" s="3"/>
      <c r="C263" s="3"/>
      <c r="D263" s="3"/>
      <c r="E263" s="3"/>
      <c r="F263" s="3"/>
      <c r="G263" s="3"/>
      <c r="H263" s="3"/>
    </row>
    <row r="264">
      <c r="B264" s="3"/>
      <c r="C264" s="3"/>
      <c r="D264" s="3"/>
      <c r="E264" s="3"/>
      <c r="F264" s="3"/>
      <c r="G264" s="3"/>
      <c r="H264" s="3"/>
    </row>
    <row r="265">
      <c r="B265" s="3"/>
      <c r="C265" s="3"/>
      <c r="D265" s="3"/>
      <c r="E265" s="3"/>
      <c r="F265" s="3"/>
      <c r="G265" s="3"/>
      <c r="H265" s="3"/>
    </row>
    <row r="266">
      <c r="B266" s="3"/>
      <c r="C266" s="3"/>
      <c r="D266" s="3"/>
      <c r="E266" s="3"/>
      <c r="F266" s="3"/>
      <c r="G266" s="3"/>
      <c r="H266" s="3"/>
    </row>
    <row r="267">
      <c r="B267" s="3"/>
      <c r="C267" s="3"/>
      <c r="D267" s="3"/>
      <c r="E267" s="3"/>
      <c r="F267" s="3"/>
      <c r="G267" s="3"/>
      <c r="H267" s="3"/>
    </row>
    <row r="268">
      <c r="B268" s="3"/>
      <c r="C268" s="3"/>
      <c r="D268" s="3"/>
      <c r="E268" s="3"/>
      <c r="F268" s="3"/>
      <c r="G268" s="3"/>
      <c r="H268" s="3"/>
    </row>
    <row r="269">
      <c r="B269" s="3"/>
      <c r="C269" s="3"/>
      <c r="D269" s="3"/>
      <c r="E269" s="3"/>
      <c r="F269" s="3"/>
      <c r="G269" s="3"/>
      <c r="H269" s="3"/>
    </row>
    <row r="270">
      <c r="B270" s="3"/>
      <c r="C270" s="3"/>
      <c r="D270" s="3"/>
      <c r="E270" s="3"/>
      <c r="F270" s="3"/>
      <c r="G270" s="3"/>
      <c r="H270" s="3"/>
    </row>
    <row r="271">
      <c r="B271" s="3"/>
      <c r="C271" s="3"/>
      <c r="D271" s="3"/>
      <c r="E271" s="3"/>
      <c r="F271" s="3"/>
      <c r="G271" s="3"/>
      <c r="H271" s="3"/>
    </row>
    <row r="272">
      <c r="B272" s="3"/>
      <c r="C272" s="3"/>
      <c r="D272" s="3"/>
      <c r="E272" s="3"/>
      <c r="F272" s="3"/>
      <c r="G272" s="3"/>
      <c r="H272" s="3"/>
    </row>
    <row r="273">
      <c r="B273" s="3"/>
      <c r="C273" s="3"/>
      <c r="D273" s="3"/>
      <c r="E273" s="3"/>
      <c r="F273" s="3"/>
      <c r="G273" s="3"/>
      <c r="H273" s="3"/>
    </row>
    <row r="274">
      <c r="B274" s="3"/>
      <c r="C274" s="3"/>
      <c r="D274" s="3"/>
      <c r="E274" s="3"/>
      <c r="F274" s="3"/>
      <c r="G274" s="3"/>
      <c r="H274" s="3"/>
    </row>
    <row r="275">
      <c r="B275" s="3"/>
      <c r="C275" s="3"/>
      <c r="D275" s="3"/>
      <c r="E275" s="3"/>
      <c r="F275" s="3"/>
      <c r="G275" s="3"/>
      <c r="H275" s="3"/>
    </row>
    <row r="276">
      <c r="B276" s="3"/>
      <c r="C276" s="3"/>
      <c r="D276" s="3"/>
      <c r="E276" s="3"/>
      <c r="F276" s="3"/>
      <c r="G276" s="3"/>
      <c r="H276" s="3"/>
    </row>
    <row r="277">
      <c r="B277" s="3"/>
      <c r="C277" s="3"/>
      <c r="D277" s="3"/>
      <c r="E277" s="3"/>
      <c r="F277" s="3"/>
      <c r="G277" s="3"/>
      <c r="H277" s="3"/>
    </row>
    <row r="278">
      <c r="B278" s="3"/>
      <c r="C278" s="3"/>
      <c r="D278" s="3"/>
      <c r="E278" s="3"/>
      <c r="F278" s="3"/>
      <c r="G278" s="3"/>
      <c r="H278" s="3"/>
    </row>
    <row r="279">
      <c r="B279" s="3"/>
      <c r="C279" s="3"/>
      <c r="D279" s="3"/>
      <c r="E279" s="3"/>
      <c r="F279" s="3"/>
      <c r="G279" s="3"/>
      <c r="H279" s="3"/>
    </row>
    <row r="280">
      <c r="B280" s="3"/>
      <c r="C280" s="3"/>
      <c r="D280" s="3"/>
      <c r="E280" s="3"/>
      <c r="F280" s="3"/>
      <c r="G280" s="3"/>
      <c r="H280" s="3"/>
    </row>
    <row r="281">
      <c r="B281" s="3"/>
      <c r="C281" s="3"/>
      <c r="D281" s="3"/>
      <c r="E281" s="3"/>
      <c r="F281" s="3"/>
      <c r="G281" s="3"/>
      <c r="H281" s="3"/>
    </row>
    <row r="282">
      <c r="B282" s="3"/>
      <c r="C282" s="3"/>
      <c r="D282" s="3"/>
      <c r="E282" s="3"/>
      <c r="F282" s="3"/>
      <c r="G282" s="3"/>
      <c r="H282" s="3"/>
    </row>
    <row r="283">
      <c r="B283" s="3"/>
      <c r="C283" s="3"/>
      <c r="D283" s="3"/>
      <c r="E283" s="3"/>
      <c r="F283" s="3"/>
      <c r="G283" s="3"/>
      <c r="H283" s="3"/>
    </row>
    <row r="284">
      <c r="B284" s="3"/>
      <c r="C284" s="3"/>
      <c r="D284" s="3"/>
      <c r="E284" s="3"/>
      <c r="F284" s="3"/>
      <c r="G284" s="3"/>
      <c r="H284" s="3"/>
    </row>
    <row r="285">
      <c r="B285" s="3"/>
      <c r="C285" s="3"/>
      <c r="D285" s="3"/>
      <c r="E285" s="3"/>
      <c r="F285" s="3"/>
      <c r="G285" s="3"/>
      <c r="H285" s="3"/>
    </row>
    <row r="286">
      <c r="B286" s="3"/>
      <c r="C286" s="3"/>
      <c r="D286" s="3"/>
      <c r="E286" s="3"/>
      <c r="F286" s="3"/>
      <c r="G286" s="3"/>
      <c r="H286" s="3"/>
    </row>
    <row r="287">
      <c r="B287" s="3"/>
      <c r="C287" s="3"/>
      <c r="D287" s="3"/>
      <c r="E287" s="3"/>
      <c r="F287" s="3"/>
      <c r="G287" s="3"/>
      <c r="H287" s="3"/>
    </row>
    <row r="288">
      <c r="B288" s="3"/>
      <c r="C288" s="3"/>
      <c r="D288" s="3"/>
      <c r="E288" s="3"/>
      <c r="F288" s="3"/>
      <c r="G288" s="3"/>
      <c r="H288" s="3"/>
    </row>
    <row r="289">
      <c r="B289" s="3"/>
      <c r="C289" s="3"/>
      <c r="D289" s="3"/>
      <c r="E289" s="3"/>
      <c r="F289" s="3"/>
      <c r="G289" s="3"/>
      <c r="H289" s="3"/>
    </row>
    <row r="290">
      <c r="B290" s="3"/>
      <c r="C290" s="3"/>
      <c r="D290" s="3"/>
      <c r="E290" s="3"/>
      <c r="F290" s="3"/>
      <c r="G290" s="3"/>
      <c r="H290" s="3"/>
    </row>
    <row r="291">
      <c r="B291" s="3"/>
      <c r="C291" s="3"/>
      <c r="D291" s="3"/>
      <c r="E291" s="3"/>
      <c r="F291" s="3"/>
      <c r="G291" s="3"/>
      <c r="H291" s="3"/>
    </row>
    <row r="292">
      <c r="B292" s="3"/>
      <c r="C292" s="3"/>
      <c r="D292" s="3"/>
      <c r="E292" s="3"/>
      <c r="F292" s="3"/>
      <c r="G292" s="3"/>
      <c r="H292" s="3"/>
    </row>
    <row r="293">
      <c r="B293" s="3"/>
      <c r="C293" s="3"/>
      <c r="D293" s="3"/>
      <c r="E293" s="3"/>
      <c r="F293" s="3"/>
      <c r="G293" s="3"/>
      <c r="H293" s="3"/>
    </row>
    <row r="294">
      <c r="B294" s="3"/>
      <c r="C294" s="3"/>
      <c r="D294" s="3"/>
      <c r="E294" s="3"/>
      <c r="F294" s="3"/>
      <c r="G294" s="3"/>
      <c r="H294" s="3"/>
    </row>
    <row r="295">
      <c r="B295" s="3"/>
      <c r="C295" s="3"/>
      <c r="D295" s="3"/>
      <c r="E295" s="3"/>
      <c r="F295" s="3"/>
      <c r="G295" s="3"/>
      <c r="H295" s="3"/>
    </row>
    <row r="296">
      <c r="B296" s="3"/>
      <c r="C296" s="3"/>
      <c r="D296" s="3"/>
      <c r="E296" s="3"/>
      <c r="F296" s="3"/>
      <c r="G296" s="3"/>
      <c r="H296" s="3"/>
    </row>
    <row r="297">
      <c r="B297" s="3"/>
      <c r="C297" s="3"/>
      <c r="D297" s="3"/>
      <c r="E297" s="3"/>
      <c r="F297" s="3"/>
      <c r="G297" s="3"/>
      <c r="H297" s="3"/>
    </row>
    <row r="298">
      <c r="B298" s="3"/>
      <c r="C298" s="3"/>
      <c r="D298" s="3"/>
      <c r="E298" s="3"/>
      <c r="F298" s="3"/>
      <c r="G298" s="3"/>
      <c r="H298" s="3"/>
    </row>
    <row r="299">
      <c r="B299" s="3"/>
      <c r="C299" s="3"/>
      <c r="D299" s="3"/>
      <c r="E299" s="3"/>
      <c r="F299" s="3"/>
      <c r="G299" s="3"/>
      <c r="H299" s="3"/>
    </row>
    <row r="300">
      <c r="B300" s="3"/>
      <c r="C300" s="3"/>
      <c r="D300" s="3"/>
      <c r="E300" s="3"/>
      <c r="F300" s="3"/>
      <c r="G300" s="3"/>
      <c r="H300" s="3"/>
    </row>
    <row r="301">
      <c r="B301" s="3"/>
      <c r="C301" s="3"/>
      <c r="D301" s="3"/>
      <c r="E301" s="3"/>
      <c r="F301" s="3"/>
      <c r="G301" s="3"/>
      <c r="H301" s="3"/>
    </row>
    <row r="302">
      <c r="B302" s="3"/>
      <c r="C302" s="3"/>
      <c r="D302" s="3"/>
      <c r="E302" s="3"/>
      <c r="F302" s="3"/>
      <c r="G302" s="3"/>
      <c r="H302" s="3"/>
    </row>
    <row r="303">
      <c r="B303" s="3"/>
      <c r="C303" s="3"/>
      <c r="D303" s="3"/>
      <c r="E303" s="3"/>
      <c r="F303" s="3"/>
      <c r="G303" s="3"/>
      <c r="H303" s="3"/>
    </row>
    <row r="304">
      <c r="B304" s="3"/>
      <c r="C304" s="3"/>
      <c r="D304" s="3"/>
      <c r="E304" s="3"/>
      <c r="F304" s="3"/>
      <c r="G304" s="3"/>
      <c r="H304" s="3"/>
    </row>
    <row r="305">
      <c r="B305" s="3"/>
      <c r="C305" s="3"/>
      <c r="D305" s="3"/>
      <c r="E305" s="3"/>
      <c r="F305" s="3"/>
      <c r="G305" s="3"/>
      <c r="H305" s="3"/>
    </row>
    <row r="306">
      <c r="B306" s="3"/>
      <c r="C306" s="3"/>
      <c r="D306" s="3"/>
      <c r="E306" s="3"/>
      <c r="F306" s="3"/>
      <c r="G306" s="3"/>
      <c r="H306" s="3"/>
    </row>
    <row r="307">
      <c r="B307" s="3"/>
      <c r="C307" s="3"/>
      <c r="D307" s="3"/>
      <c r="E307" s="3"/>
      <c r="F307" s="3"/>
      <c r="G307" s="3"/>
      <c r="H307" s="3"/>
    </row>
    <row r="308">
      <c r="B308" s="3"/>
      <c r="C308" s="3"/>
      <c r="D308" s="3"/>
      <c r="E308" s="3"/>
      <c r="F308" s="3"/>
      <c r="G308" s="3"/>
      <c r="H308" s="3"/>
    </row>
    <row r="309">
      <c r="B309" s="3"/>
      <c r="C309" s="3"/>
      <c r="D309" s="3"/>
      <c r="E309" s="3"/>
      <c r="F309" s="3"/>
      <c r="G309" s="3"/>
      <c r="H309" s="3"/>
    </row>
    <row r="310">
      <c r="B310" s="3"/>
      <c r="C310" s="3"/>
      <c r="D310" s="3"/>
      <c r="E310" s="3"/>
      <c r="F310" s="3"/>
      <c r="G310" s="3"/>
      <c r="H310" s="3"/>
    </row>
    <row r="311">
      <c r="B311" s="3"/>
      <c r="C311" s="3"/>
      <c r="D311" s="3"/>
      <c r="E311" s="3"/>
      <c r="F311" s="3"/>
      <c r="G311" s="3"/>
      <c r="H311" s="3"/>
    </row>
    <row r="312">
      <c r="B312" s="3"/>
      <c r="C312" s="3"/>
      <c r="D312" s="3"/>
      <c r="E312" s="3"/>
      <c r="F312" s="3"/>
      <c r="G312" s="3"/>
      <c r="H312" s="3"/>
    </row>
    <row r="313">
      <c r="B313" s="3"/>
      <c r="C313" s="3"/>
      <c r="D313" s="3"/>
      <c r="E313" s="3"/>
      <c r="F313" s="3"/>
      <c r="G313" s="3"/>
      <c r="H313" s="3"/>
    </row>
    <row r="314">
      <c r="B314" s="3"/>
      <c r="C314" s="3"/>
      <c r="D314" s="3"/>
      <c r="E314" s="3"/>
      <c r="F314" s="3"/>
      <c r="G314" s="3"/>
      <c r="H314" s="3"/>
    </row>
    <row r="315">
      <c r="B315" s="3"/>
      <c r="C315" s="3"/>
      <c r="D315" s="3"/>
      <c r="E315" s="3"/>
      <c r="F315" s="3"/>
      <c r="G315" s="3"/>
      <c r="H315" s="3"/>
    </row>
    <row r="316">
      <c r="B316" s="3"/>
      <c r="C316" s="3"/>
      <c r="D316" s="3"/>
      <c r="E316" s="3"/>
      <c r="F316" s="3"/>
      <c r="G316" s="3"/>
      <c r="H316" s="3"/>
    </row>
    <row r="317">
      <c r="B317" s="3"/>
      <c r="C317" s="3"/>
      <c r="D317" s="3"/>
      <c r="E317" s="3"/>
      <c r="F317" s="3"/>
      <c r="G317" s="3"/>
      <c r="H317" s="3"/>
    </row>
    <row r="318">
      <c r="B318" s="3"/>
      <c r="C318" s="3"/>
      <c r="D318" s="3"/>
      <c r="E318" s="3"/>
      <c r="F318" s="3"/>
      <c r="G318" s="3"/>
      <c r="H318" s="3"/>
    </row>
    <row r="319">
      <c r="B319" s="3"/>
      <c r="C319" s="3"/>
      <c r="D319" s="3"/>
      <c r="E319" s="3"/>
      <c r="F319" s="3"/>
      <c r="G319" s="3"/>
      <c r="H319" s="3"/>
    </row>
    <row r="320">
      <c r="B320" s="3"/>
      <c r="C320" s="3"/>
      <c r="D320" s="3"/>
      <c r="E320" s="3"/>
      <c r="F320" s="3"/>
      <c r="G320" s="3"/>
      <c r="H320" s="3"/>
    </row>
    <row r="321">
      <c r="B321" s="3"/>
      <c r="C321" s="3"/>
      <c r="D321" s="3"/>
      <c r="E321" s="3"/>
      <c r="F321" s="3"/>
      <c r="G321" s="3"/>
      <c r="H321" s="3"/>
    </row>
    <row r="322">
      <c r="B322" s="3"/>
      <c r="C322" s="3"/>
      <c r="D322" s="3"/>
      <c r="E322" s="3"/>
      <c r="F322" s="3"/>
      <c r="G322" s="3"/>
      <c r="H322" s="3"/>
    </row>
    <row r="323">
      <c r="B323" s="3"/>
      <c r="C323" s="3"/>
      <c r="D323" s="3"/>
      <c r="E323" s="3"/>
      <c r="F323" s="3"/>
      <c r="G323" s="3"/>
      <c r="H323" s="3"/>
    </row>
    <row r="324">
      <c r="B324" s="3"/>
      <c r="C324" s="3"/>
      <c r="D324" s="3"/>
      <c r="E324" s="3"/>
      <c r="F324" s="3"/>
      <c r="G324" s="3"/>
      <c r="H324" s="3"/>
    </row>
    <row r="325">
      <c r="B325" s="3"/>
      <c r="C325" s="3"/>
      <c r="D325" s="3"/>
      <c r="E325" s="3"/>
      <c r="F325" s="3"/>
      <c r="G325" s="3"/>
      <c r="H325" s="3"/>
    </row>
    <row r="326">
      <c r="B326" s="3"/>
      <c r="C326" s="3"/>
      <c r="D326" s="3"/>
      <c r="E326" s="3"/>
      <c r="F326" s="3"/>
      <c r="G326" s="3"/>
      <c r="H326" s="3"/>
    </row>
    <row r="327">
      <c r="B327" s="3"/>
      <c r="C327" s="3"/>
      <c r="D327" s="3"/>
      <c r="E327" s="3"/>
      <c r="F327" s="3"/>
      <c r="G327" s="3"/>
      <c r="H327" s="3"/>
    </row>
    <row r="328">
      <c r="B328" s="3"/>
      <c r="C328" s="3"/>
      <c r="D328" s="3"/>
      <c r="E328" s="3"/>
      <c r="F328" s="3"/>
      <c r="G328" s="3"/>
      <c r="H328" s="3"/>
    </row>
    <row r="329">
      <c r="B329" s="3"/>
      <c r="C329" s="3"/>
      <c r="D329" s="3"/>
      <c r="E329" s="3"/>
      <c r="F329" s="3"/>
      <c r="G329" s="3"/>
      <c r="H329" s="3"/>
    </row>
    <row r="330">
      <c r="B330" s="3"/>
      <c r="C330" s="3"/>
      <c r="D330" s="3"/>
      <c r="E330" s="3"/>
      <c r="F330" s="3"/>
      <c r="G330" s="3"/>
      <c r="H330" s="3"/>
    </row>
    <row r="331">
      <c r="B331" s="3"/>
      <c r="C331" s="3"/>
      <c r="D331" s="3"/>
      <c r="E331" s="3"/>
      <c r="F331" s="3"/>
      <c r="G331" s="3"/>
      <c r="H331" s="3"/>
    </row>
    <row r="332">
      <c r="B332" s="3"/>
      <c r="C332" s="3"/>
      <c r="D332" s="3"/>
      <c r="E332" s="3"/>
      <c r="F332" s="3"/>
      <c r="G332" s="3"/>
      <c r="H332" s="3"/>
    </row>
    <row r="333">
      <c r="B333" s="3"/>
      <c r="C333" s="3"/>
      <c r="D333" s="3"/>
      <c r="E333" s="3"/>
      <c r="F333" s="3"/>
      <c r="G333" s="3"/>
      <c r="H333" s="3"/>
    </row>
    <row r="334">
      <c r="B334" s="3"/>
      <c r="C334" s="3"/>
      <c r="D334" s="3"/>
      <c r="E334" s="3"/>
      <c r="F334" s="3"/>
      <c r="G334" s="3"/>
      <c r="H334" s="3"/>
    </row>
    <row r="335">
      <c r="B335" s="3"/>
      <c r="C335" s="3"/>
      <c r="D335" s="3"/>
      <c r="E335" s="3"/>
      <c r="F335" s="3"/>
      <c r="G335" s="3"/>
      <c r="H335" s="3"/>
    </row>
    <row r="336">
      <c r="B336" s="3"/>
      <c r="C336" s="3"/>
      <c r="D336" s="3"/>
      <c r="E336" s="3"/>
      <c r="F336" s="3"/>
      <c r="G336" s="3"/>
      <c r="H336" s="3"/>
    </row>
    <row r="337">
      <c r="B337" s="3"/>
      <c r="C337" s="3"/>
      <c r="D337" s="3"/>
      <c r="E337" s="3"/>
      <c r="F337" s="3"/>
      <c r="G337" s="3"/>
      <c r="H337" s="3"/>
    </row>
    <row r="338">
      <c r="B338" s="3"/>
      <c r="C338" s="3"/>
      <c r="D338" s="3"/>
      <c r="E338" s="3"/>
      <c r="F338" s="3"/>
      <c r="G338" s="3"/>
      <c r="H338" s="3"/>
    </row>
    <row r="339">
      <c r="B339" s="3"/>
      <c r="C339" s="3"/>
      <c r="D339" s="3"/>
      <c r="E339" s="3"/>
      <c r="F339" s="3"/>
      <c r="G339" s="3"/>
      <c r="H339" s="3"/>
    </row>
    <row r="340">
      <c r="B340" s="3"/>
      <c r="C340" s="3"/>
      <c r="D340" s="3"/>
      <c r="E340" s="3"/>
      <c r="F340" s="3"/>
      <c r="G340" s="3"/>
      <c r="H340" s="3"/>
    </row>
    <row r="341">
      <c r="B341" s="3"/>
      <c r="C341" s="3"/>
      <c r="D341" s="3"/>
      <c r="E341" s="3"/>
      <c r="F341" s="3"/>
      <c r="G341" s="3"/>
      <c r="H341" s="3"/>
    </row>
    <row r="342">
      <c r="B342" s="3"/>
      <c r="C342" s="3"/>
      <c r="D342" s="3"/>
      <c r="E342" s="3"/>
      <c r="F342" s="3"/>
      <c r="G342" s="3"/>
      <c r="H342" s="3"/>
    </row>
    <row r="343">
      <c r="B343" s="3"/>
      <c r="C343" s="3"/>
      <c r="D343" s="3"/>
      <c r="E343" s="3"/>
      <c r="F343" s="3"/>
      <c r="G343" s="3"/>
      <c r="H343" s="3"/>
    </row>
    <row r="344">
      <c r="B344" s="3"/>
      <c r="C344" s="3"/>
      <c r="D344" s="3"/>
      <c r="E344" s="3"/>
      <c r="F344" s="3"/>
      <c r="G344" s="3"/>
      <c r="H344" s="3"/>
    </row>
    <row r="345">
      <c r="B345" s="3"/>
      <c r="C345" s="3"/>
      <c r="D345" s="3"/>
      <c r="E345" s="3"/>
      <c r="F345" s="3"/>
      <c r="G345" s="3"/>
      <c r="H345" s="3"/>
    </row>
    <row r="346">
      <c r="B346" s="3"/>
      <c r="C346" s="3"/>
      <c r="D346" s="3"/>
      <c r="E346" s="3"/>
      <c r="F346" s="3"/>
      <c r="G346" s="3"/>
      <c r="H346" s="3"/>
    </row>
    <row r="347">
      <c r="B347" s="3"/>
      <c r="C347" s="3"/>
      <c r="D347" s="3"/>
      <c r="E347" s="3"/>
      <c r="F347" s="3"/>
      <c r="G347" s="3"/>
      <c r="H347" s="3"/>
    </row>
    <row r="348">
      <c r="B348" s="3"/>
      <c r="C348" s="3"/>
      <c r="D348" s="3"/>
      <c r="E348" s="3"/>
      <c r="F348" s="3"/>
      <c r="G348" s="3"/>
      <c r="H348" s="3"/>
    </row>
    <row r="349">
      <c r="B349" s="3"/>
      <c r="C349" s="3"/>
      <c r="D349" s="3"/>
      <c r="E349" s="3"/>
      <c r="F349" s="3"/>
      <c r="G349" s="3"/>
      <c r="H349" s="3"/>
    </row>
    <row r="350">
      <c r="B350" s="3"/>
      <c r="C350" s="3"/>
      <c r="D350" s="3"/>
      <c r="E350" s="3"/>
      <c r="F350" s="3"/>
      <c r="G350" s="3"/>
      <c r="H350" s="3"/>
    </row>
    <row r="351">
      <c r="B351" s="3"/>
      <c r="C351" s="3"/>
      <c r="D351" s="3"/>
      <c r="E351" s="3"/>
      <c r="F351" s="3"/>
      <c r="G351" s="3"/>
      <c r="H351" s="3"/>
    </row>
    <row r="352">
      <c r="B352" s="3"/>
      <c r="C352" s="3"/>
      <c r="D352" s="3"/>
      <c r="E352" s="3"/>
      <c r="F352" s="3"/>
      <c r="G352" s="3"/>
      <c r="H352" s="3"/>
    </row>
    <row r="353">
      <c r="B353" s="3"/>
      <c r="C353" s="3"/>
      <c r="D353" s="3"/>
      <c r="E353" s="3"/>
      <c r="F353" s="3"/>
      <c r="G353" s="3"/>
      <c r="H353" s="3"/>
    </row>
    <row r="354">
      <c r="B354" s="3"/>
      <c r="C354" s="3"/>
      <c r="D354" s="3"/>
      <c r="E354" s="3"/>
      <c r="F354" s="3"/>
      <c r="G354" s="3"/>
      <c r="H354" s="3"/>
    </row>
    <row r="355">
      <c r="B355" s="3"/>
      <c r="C355" s="3"/>
      <c r="D355" s="3"/>
      <c r="E355" s="3"/>
      <c r="F355" s="3"/>
      <c r="G355" s="3"/>
      <c r="H355" s="3"/>
    </row>
    <row r="356">
      <c r="B356" s="3"/>
      <c r="C356" s="3"/>
      <c r="D356" s="3"/>
      <c r="E356" s="3"/>
      <c r="F356" s="3"/>
      <c r="G356" s="3"/>
      <c r="H356" s="3"/>
    </row>
    <row r="357">
      <c r="B357" s="3"/>
      <c r="C357" s="3"/>
      <c r="D357" s="3"/>
      <c r="E357" s="3"/>
      <c r="F357" s="3"/>
      <c r="G357" s="3"/>
      <c r="H357" s="3"/>
    </row>
    <row r="358">
      <c r="B358" s="3"/>
      <c r="C358" s="3"/>
      <c r="D358" s="3"/>
      <c r="E358" s="3"/>
      <c r="F358" s="3"/>
      <c r="G358" s="3"/>
      <c r="H358" s="3"/>
    </row>
    <row r="359">
      <c r="B359" s="3"/>
      <c r="C359" s="3"/>
      <c r="D359" s="3"/>
      <c r="E359" s="3"/>
      <c r="F359" s="3"/>
      <c r="G359" s="3"/>
      <c r="H359" s="3"/>
    </row>
    <row r="360">
      <c r="B360" s="3"/>
      <c r="C360" s="3"/>
      <c r="D360" s="3"/>
      <c r="E360" s="3"/>
      <c r="F360" s="3"/>
      <c r="G360" s="3"/>
      <c r="H360" s="3"/>
    </row>
    <row r="361">
      <c r="B361" s="3"/>
      <c r="C361" s="3"/>
      <c r="D361" s="3"/>
      <c r="E361" s="3"/>
      <c r="F361" s="3"/>
      <c r="G361" s="3"/>
      <c r="H361" s="3"/>
    </row>
    <row r="362">
      <c r="B362" s="3"/>
      <c r="C362" s="3"/>
      <c r="D362" s="3"/>
      <c r="E362" s="3"/>
      <c r="F362" s="3"/>
      <c r="G362" s="3"/>
      <c r="H362" s="3"/>
    </row>
    <row r="363">
      <c r="B363" s="3"/>
      <c r="C363" s="3"/>
      <c r="D363" s="3"/>
      <c r="E363" s="3"/>
      <c r="F363" s="3"/>
      <c r="G363" s="3"/>
      <c r="H363" s="3"/>
    </row>
    <row r="364">
      <c r="B364" s="3"/>
      <c r="C364" s="3"/>
      <c r="D364" s="3"/>
      <c r="E364" s="3"/>
      <c r="F364" s="3"/>
      <c r="G364" s="3"/>
      <c r="H364" s="3"/>
    </row>
    <row r="365">
      <c r="B365" s="3"/>
      <c r="C365" s="3"/>
      <c r="D365" s="3"/>
      <c r="E365" s="3"/>
      <c r="F365" s="3"/>
      <c r="G365" s="3"/>
      <c r="H365" s="3"/>
    </row>
    <row r="366">
      <c r="B366" s="3"/>
      <c r="C366" s="3"/>
      <c r="D366" s="3"/>
      <c r="E366" s="3"/>
      <c r="F366" s="3"/>
      <c r="G366" s="3"/>
      <c r="H366" s="3"/>
    </row>
    <row r="367">
      <c r="B367" s="3"/>
      <c r="C367" s="3"/>
      <c r="D367" s="3"/>
      <c r="E367" s="3"/>
      <c r="F367" s="3"/>
      <c r="G367" s="3"/>
      <c r="H367" s="3"/>
    </row>
    <row r="368">
      <c r="B368" s="3"/>
      <c r="C368" s="3"/>
      <c r="D368" s="3"/>
      <c r="E368" s="3"/>
      <c r="F368" s="3"/>
      <c r="G368" s="3"/>
      <c r="H368" s="3"/>
    </row>
    <row r="369">
      <c r="B369" s="3"/>
      <c r="C369" s="3"/>
      <c r="D369" s="3"/>
      <c r="E369" s="3"/>
      <c r="F369" s="3"/>
      <c r="G369" s="3"/>
      <c r="H369" s="3"/>
    </row>
    <row r="370">
      <c r="B370" s="3"/>
      <c r="C370" s="3"/>
      <c r="D370" s="3"/>
      <c r="E370" s="3"/>
      <c r="F370" s="3"/>
      <c r="G370" s="3"/>
      <c r="H370" s="3"/>
    </row>
    <row r="371">
      <c r="B371" s="3"/>
      <c r="C371" s="3"/>
      <c r="D371" s="3"/>
      <c r="E371" s="3"/>
      <c r="F371" s="3"/>
      <c r="G371" s="3"/>
      <c r="H371" s="3"/>
    </row>
    <row r="372">
      <c r="B372" s="3"/>
      <c r="C372" s="3"/>
      <c r="D372" s="3"/>
      <c r="E372" s="3"/>
      <c r="F372" s="3"/>
      <c r="G372" s="3"/>
      <c r="H372" s="3"/>
    </row>
    <row r="373">
      <c r="B373" s="3"/>
      <c r="C373" s="3"/>
      <c r="D373" s="3"/>
      <c r="E373" s="3"/>
      <c r="F373" s="3"/>
      <c r="G373" s="3"/>
      <c r="H373" s="3"/>
    </row>
    <row r="374">
      <c r="B374" s="3"/>
      <c r="C374" s="3"/>
      <c r="D374" s="3"/>
      <c r="E374" s="3"/>
      <c r="F374" s="3"/>
      <c r="G374" s="3"/>
      <c r="H374" s="3"/>
    </row>
    <row r="375">
      <c r="B375" s="3"/>
      <c r="C375" s="3"/>
      <c r="D375" s="3"/>
      <c r="E375" s="3"/>
      <c r="F375" s="3"/>
      <c r="G375" s="3"/>
      <c r="H375" s="3"/>
    </row>
    <row r="376">
      <c r="B376" s="3"/>
      <c r="C376" s="3"/>
      <c r="D376" s="3"/>
      <c r="E376" s="3"/>
      <c r="F376" s="3"/>
      <c r="G376" s="3"/>
      <c r="H376" s="3"/>
    </row>
    <row r="377">
      <c r="B377" s="3"/>
      <c r="C377" s="3"/>
      <c r="D377" s="3"/>
      <c r="E377" s="3"/>
      <c r="F377" s="3"/>
      <c r="G377" s="3"/>
      <c r="H377" s="3"/>
    </row>
    <row r="378">
      <c r="B378" s="3"/>
      <c r="C378" s="3"/>
      <c r="D378" s="3"/>
      <c r="E378" s="3"/>
      <c r="F378" s="3"/>
      <c r="G378" s="3"/>
      <c r="H378" s="3"/>
    </row>
    <row r="379">
      <c r="B379" s="3"/>
      <c r="C379" s="3"/>
      <c r="D379" s="3"/>
      <c r="E379" s="3"/>
      <c r="F379" s="3"/>
      <c r="G379" s="3"/>
      <c r="H379" s="3"/>
    </row>
    <row r="380">
      <c r="B380" s="3"/>
      <c r="C380" s="3"/>
      <c r="D380" s="3"/>
      <c r="E380" s="3"/>
      <c r="F380" s="3"/>
      <c r="G380" s="3"/>
      <c r="H380" s="3"/>
    </row>
    <row r="381">
      <c r="B381" s="3"/>
      <c r="C381" s="3"/>
      <c r="D381" s="3"/>
      <c r="E381" s="3"/>
      <c r="F381" s="3"/>
      <c r="G381" s="3"/>
      <c r="H381" s="3"/>
    </row>
    <row r="382">
      <c r="B382" s="3"/>
      <c r="C382" s="3"/>
      <c r="D382" s="3"/>
      <c r="E382" s="3"/>
      <c r="F382" s="3"/>
      <c r="G382" s="3"/>
      <c r="H382" s="3"/>
    </row>
    <row r="383">
      <c r="B383" s="3"/>
      <c r="C383" s="3"/>
      <c r="D383" s="3"/>
      <c r="E383" s="3"/>
      <c r="F383" s="3"/>
      <c r="G383" s="3"/>
      <c r="H383" s="3"/>
    </row>
    <row r="384">
      <c r="B384" s="3"/>
      <c r="C384" s="3"/>
      <c r="D384" s="3"/>
      <c r="E384" s="3"/>
      <c r="F384" s="3"/>
      <c r="G384" s="3"/>
      <c r="H384" s="3"/>
    </row>
    <row r="385">
      <c r="B385" s="3"/>
      <c r="C385" s="3"/>
      <c r="D385" s="3"/>
      <c r="E385" s="3"/>
      <c r="F385" s="3"/>
      <c r="G385" s="3"/>
      <c r="H385" s="3"/>
    </row>
    <row r="386">
      <c r="B386" s="3"/>
      <c r="C386" s="3"/>
      <c r="D386" s="3"/>
      <c r="E386" s="3"/>
      <c r="F386" s="3"/>
      <c r="G386" s="3"/>
      <c r="H386" s="3"/>
    </row>
    <row r="387">
      <c r="B387" s="3"/>
      <c r="C387" s="3"/>
      <c r="D387" s="3"/>
      <c r="E387" s="3"/>
      <c r="F387" s="3"/>
      <c r="G387" s="3"/>
      <c r="H387" s="3"/>
    </row>
    <row r="388">
      <c r="B388" s="3"/>
      <c r="C388" s="3"/>
      <c r="D388" s="3"/>
      <c r="E388" s="3"/>
      <c r="F388" s="3"/>
      <c r="G388" s="3"/>
      <c r="H388" s="3"/>
    </row>
    <row r="389">
      <c r="B389" s="3"/>
      <c r="C389" s="3"/>
      <c r="D389" s="3"/>
      <c r="E389" s="3"/>
      <c r="F389" s="3"/>
      <c r="G389" s="3"/>
      <c r="H389" s="3"/>
    </row>
    <row r="390">
      <c r="B390" s="3"/>
      <c r="C390" s="3"/>
      <c r="D390" s="3"/>
      <c r="E390" s="3"/>
      <c r="F390" s="3"/>
      <c r="G390" s="3"/>
      <c r="H390" s="3"/>
    </row>
    <row r="391">
      <c r="B391" s="3"/>
      <c r="C391" s="3"/>
      <c r="D391" s="3"/>
      <c r="E391" s="3"/>
      <c r="F391" s="3"/>
      <c r="G391" s="3"/>
      <c r="H391" s="3"/>
    </row>
    <row r="392">
      <c r="B392" s="3"/>
      <c r="C392" s="3"/>
      <c r="D392" s="3"/>
      <c r="E392" s="3"/>
      <c r="F392" s="3"/>
      <c r="G392" s="3"/>
      <c r="H392" s="3"/>
    </row>
    <row r="393">
      <c r="B393" s="3"/>
      <c r="C393" s="3"/>
      <c r="D393" s="3"/>
      <c r="E393" s="3"/>
      <c r="F393" s="3"/>
      <c r="G393" s="3"/>
      <c r="H393" s="3"/>
    </row>
    <row r="394">
      <c r="B394" s="3"/>
      <c r="C394" s="3"/>
      <c r="D394" s="3"/>
      <c r="E394" s="3"/>
      <c r="F394" s="3"/>
      <c r="G394" s="3"/>
      <c r="H394" s="3"/>
    </row>
    <row r="395">
      <c r="B395" s="3"/>
      <c r="C395" s="3"/>
      <c r="D395" s="3"/>
      <c r="E395" s="3"/>
      <c r="F395" s="3"/>
      <c r="G395" s="3"/>
      <c r="H395" s="3"/>
    </row>
    <row r="396">
      <c r="B396" s="3"/>
      <c r="C396" s="3"/>
      <c r="D396" s="3"/>
      <c r="E396" s="3"/>
      <c r="F396" s="3"/>
      <c r="G396" s="3"/>
      <c r="H396" s="3"/>
    </row>
    <row r="397">
      <c r="B397" s="3"/>
      <c r="C397" s="3"/>
      <c r="D397" s="3"/>
      <c r="E397" s="3"/>
      <c r="F397" s="3"/>
      <c r="G397" s="3"/>
      <c r="H397" s="3"/>
    </row>
    <row r="398">
      <c r="B398" s="3"/>
      <c r="C398" s="3"/>
      <c r="D398" s="3"/>
      <c r="E398" s="3"/>
      <c r="F398" s="3"/>
      <c r="G398" s="3"/>
      <c r="H398" s="3"/>
    </row>
    <row r="399">
      <c r="B399" s="3"/>
      <c r="C399" s="3"/>
      <c r="D399" s="3"/>
      <c r="E399" s="3"/>
      <c r="F399" s="3"/>
      <c r="G399" s="3"/>
      <c r="H399" s="3"/>
    </row>
    <row r="400">
      <c r="B400" s="3"/>
      <c r="C400" s="3"/>
      <c r="D400" s="3"/>
      <c r="E400" s="3"/>
      <c r="F400" s="3"/>
      <c r="G400" s="3"/>
      <c r="H400" s="3"/>
    </row>
    <row r="401">
      <c r="B401" s="3"/>
      <c r="C401" s="3"/>
      <c r="D401" s="3"/>
      <c r="E401" s="3"/>
      <c r="F401" s="3"/>
      <c r="G401" s="3"/>
      <c r="H401" s="3"/>
    </row>
    <row r="402">
      <c r="B402" s="3"/>
      <c r="C402" s="3"/>
      <c r="D402" s="3"/>
      <c r="E402" s="3"/>
      <c r="F402" s="3"/>
      <c r="G402" s="3"/>
      <c r="H402" s="3"/>
    </row>
    <row r="403">
      <c r="B403" s="3"/>
      <c r="C403" s="3"/>
      <c r="D403" s="3"/>
      <c r="E403" s="3"/>
      <c r="F403" s="3"/>
      <c r="G403" s="3"/>
      <c r="H403" s="3"/>
    </row>
    <row r="404">
      <c r="B404" s="3"/>
      <c r="C404" s="3"/>
      <c r="D404" s="3"/>
      <c r="E404" s="3"/>
      <c r="F404" s="3"/>
      <c r="G404" s="3"/>
      <c r="H404" s="3"/>
    </row>
    <row r="405">
      <c r="B405" s="3"/>
      <c r="C405" s="3"/>
      <c r="D405" s="3"/>
      <c r="E405" s="3"/>
      <c r="F405" s="3"/>
      <c r="G405" s="3"/>
      <c r="H405" s="3"/>
    </row>
    <row r="406">
      <c r="B406" s="3"/>
      <c r="C406" s="3"/>
      <c r="D406" s="3"/>
      <c r="E406" s="3"/>
      <c r="F406" s="3"/>
      <c r="G406" s="3"/>
      <c r="H406" s="3"/>
    </row>
    <row r="407">
      <c r="B407" s="3"/>
      <c r="C407" s="3"/>
      <c r="D407" s="3"/>
      <c r="E407" s="3"/>
      <c r="F407" s="3"/>
      <c r="G407" s="3"/>
      <c r="H407" s="3"/>
    </row>
    <row r="408">
      <c r="B408" s="3"/>
      <c r="C408" s="3"/>
      <c r="D408" s="3"/>
      <c r="E408" s="3"/>
      <c r="F408" s="3"/>
      <c r="G408" s="3"/>
      <c r="H408" s="3"/>
    </row>
    <row r="409">
      <c r="B409" s="3"/>
      <c r="C409" s="3"/>
      <c r="D409" s="3"/>
      <c r="E409" s="3"/>
      <c r="F409" s="3"/>
      <c r="G409" s="3"/>
      <c r="H409" s="3"/>
    </row>
    <row r="410">
      <c r="B410" s="3"/>
      <c r="C410" s="3"/>
      <c r="D410" s="3"/>
      <c r="E410" s="3"/>
      <c r="F410" s="3"/>
      <c r="G410" s="3"/>
      <c r="H410" s="3"/>
    </row>
    <row r="411">
      <c r="B411" s="3"/>
      <c r="C411" s="3"/>
      <c r="D411" s="3"/>
      <c r="E411" s="3"/>
      <c r="F411" s="3"/>
      <c r="G411" s="3"/>
      <c r="H411" s="3"/>
    </row>
    <row r="412">
      <c r="B412" s="3"/>
      <c r="C412" s="3"/>
      <c r="D412" s="3"/>
      <c r="E412" s="3"/>
      <c r="F412" s="3"/>
      <c r="G412" s="3"/>
      <c r="H412" s="3"/>
    </row>
    <row r="413">
      <c r="B413" s="3"/>
      <c r="C413" s="3"/>
      <c r="D413" s="3"/>
      <c r="E413" s="3"/>
      <c r="F413" s="3"/>
      <c r="G413" s="3"/>
      <c r="H413" s="3"/>
    </row>
    <row r="414">
      <c r="B414" s="3"/>
      <c r="C414" s="3"/>
      <c r="D414" s="3"/>
      <c r="E414" s="3"/>
      <c r="F414" s="3"/>
      <c r="G414" s="3"/>
      <c r="H414" s="3"/>
    </row>
    <row r="415">
      <c r="B415" s="3"/>
      <c r="C415" s="3"/>
      <c r="D415" s="3"/>
      <c r="E415" s="3"/>
      <c r="F415" s="3"/>
      <c r="G415" s="3"/>
      <c r="H415" s="3"/>
    </row>
    <row r="416">
      <c r="B416" s="3"/>
      <c r="C416" s="3"/>
      <c r="D416" s="3"/>
      <c r="E416" s="3"/>
      <c r="F416" s="3"/>
      <c r="G416" s="3"/>
      <c r="H416" s="3"/>
    </row>
    <row r="417">
      <c r="B417" s="3"/>
      <c r="C417" s="3"/>
      <c r="D417" s="3"/>
      <c r="E417" s="3"/>
      <c r="F417" s="3"/>
      <c r="G417" s="3"/>
      <c r="H417" s="3"/>
    </row>
    <row r="418">
      <c r="B418" s="3"/>
      <c r="C418" s="3"/>
      <c r="D418" s="3"/>
      <c r="E418" s="3"/>
      <c r="F418" s="3"/>
      <c r="G418" s="3"/>
      <c r="H418" s="3"/>
    </row>
    <row r="419">
      <c r="B419" s="3"/>
      <c r="C419" s="3"/>
      <c r="D419" s="3"/>
      <c r="E419" s="3"/>
      <c r="F419" s="3"/>
      <c r="G419" s="3"/>
      <c r="H419" s="3"/>
    </row>
    <row r="420">
      <c r="B420" s="3"/>
      <c r="C420" s="3"/>
      <c r="D420" s="3"/>
      <c r="E420" s="3"/>
      <c r="F420" s="3"/>
      <c r="G420" s="3"/>
      <c r="H420" s="3"/>
    </row>
    <row r="421">
      <c r="B421" s="3"/>
      <c r="C421" s="3"/>
      <c r="D421" s="3"/>
      <c r="E421" s="3"/>
      <c r="F421" s="3"/>
      <c r="G421" s="3"/>
      <c r="H421" s="3"/>
    </row>
    <row r="422">
      <c r="B422" s="3"/>
      <c r="C422" s="3"/>
      <c r="D422" s="3"/>
      <c r="E422" s="3"/>
      <c r="F422" s="3"/>
      <c r="G422" s="3"/>
      <c r="H422" s="3"/>
    </row>
    <row r="423">
      <c r="B423" s="3"/>
      <c r="C423" s="3"/>
      <c r="D423" s="3"/>
      <c r="E423" s="3"/>
      <c r="F423" s="3"/>
      <c r="G423" s="3"/>
      <c r="H423" s="3"/>
    </row>
    <row r="424">
      <c r="B424" s="3"/>
      <c r="C424" s="3"/>
      <c r="D424" s="3"/>
      <c r="E424" s="3"/>
      <c r="F424" s="3"/>
      <c r="G424" s="3"/>
      <c r="H424" s="3"/>
    </row>
    <row r="425">
      <c r="B425" s="3"/>
      <c r="C425" s="3"/>
      <c r="D425" s="3"/>
      <c r="E425" s="3"/>
      <c r="F425" s="3"/>
      <c r="G425" s="3"/>
      <c r="H425" s="3"/>
    </row>
    <row r="426">
      <c r="B426" s="3"/>
      <c r="C426" s="3"/>
      <c r="D426" s="3"/>
      <c r="E426" s="3"/>
      <c r="F426" s="3"/>
      <c r="G426" s="3"/>
      <c r="H426" s="3"/>
    </row>
    <row r="427">
      <c r="B427" s="3"/>
      <c r="C427" s="3"/>
      <c r="D427" s="3"/>
      <c r="E427" s="3"/>
      <c r="F427" s="3"/>
      <c r="G427" s="3"/>
      <c r="H427" s="3"/>
    </row>
    <row r="428">
      <c r="B428" s="3"/>
      <c r="C428" s="3"/>
      <c r="D428" s="3"/>
      <c r="E428" s="3"/>
      <c r="F428" s="3"/>
      <c r="G428" s="3"/>
      <c r="H428" s="3"/>
    </row>
    <row r="429">
      <c r="B429" s="3"/>
      <c r="C429" s="3"/>
      <c r="D429" s="3"/>
      <c r="E429" s="3"/>
      <c r="F429" s="3"/>
      <c r="G429" s="3"/>
      <c r="H429" s="3"/>
    </row>
    <row r="430">
      <c r="B430" s="3"/>
      <c r="C430" s="3"/>
      <c r="D430" s="3"/>
      <c r="E430" s="3"/>
      <c r="F430" s="3"/>
      <c r="G430" s="3"/>
      <c r="H430" s="3"/>
    </row>
    <row r="431">
      <c r="B431" s="3"/>
      <c r="C431" s="3"/>
      <c r="D431" s="3"/>
      <c r="E431" s="3"/>
      <c r="F431" s="3"/>
      <c r="G431" s="3"/>
      <c r="H431" s="3"/>
    </row>
    <row r="432">
      <c r="B432" s="3"/>
      <c r="C432" s="3"/>
      <c r="D432" s="3"/>
      <c r="E432" s="3"/>
      <c r="F432" s="3"/>
      <c r="G432" s="3"/>
      <c r="H432" s="3"/>
    </row>
    <row r="433">
      <c r="B433" s="3"/>
      <c r="C433" s="3"/>
      <c r="D433" s="3"/>
      <c r="E433" s="3"/>
      <c r="F433" s="3"/>
      <c r="G433" s="3"/>
      <c r="H433" s="3"/>
    </row>
    <row r="434">
      <c r="B434" s="3"/>
      <c r="C434" s="3"/>
      <c r="D434" s="3"/>
      <c r="E434" s="3"/>
      <c r="F434" s="3"/>
      <c r="G434" s="3"/>
      <c r="H434" s="3"/>
    </row>
    <row r="435">
      <c r="B435" s="3"/>
      <c r="C435" s="3"/>
      <c r="D435" s="3"/>
      <c r="E435" s="3"/>
      <c r="F435" s="3"/>
      <c r="G435" s="3"/>
      <c r="H435" s="3"/>
    </row>
    <row r="436">
      <c r="B436" s="3"/>
      <c r="C436" s="3"/>
      <c r="D436" s="3"/>
      <c r="E436" s="3"/>
      <c r="F436" s="3"/>
      <c r="G436" s="3"/>
      <c r="H436" s="3"/>
    </row>
    <row r="437">
      <c r="B437" s="3"/>
      <c r="C437" s="3"/>
      <c r="D437" s="3"/>
      <c r="E437" s="3"/>
      <c r="F437" s="3"/>
      <c r="G437" s="3"/>
      <c r="H437" s="3"/>
    </row>
    <row r="438">
      <c r="B438" s="3"/>
      <c r="C438" s="3"/>
      <c r="D438" s="3"/>
      <c r="E438" s="3"/>
      <c r="F438" s="3"/>
      <c r="G438" s="3"/>
      <c r="H438" s="3"/>
    </row>
    <row r="439">
      <c r="B439" s="3"/>
      <c r="C439" s="3"/>
      <c r="D439" s="3"/>
      <c r="E439" s="3"/>
      <c r="F439" s="3"/>
      <c r="G439" s="3"/>
      <c r="H439" s="3"/>
    </row>
    <row r="440">
      <c r="B440" s="3"/>
      <c r="C440" s="3"/>
      <c r="D440" s="3"/>
      <c r="E440" s="3"/>
      <c r="F440" s="3"/>
      <c r="G440" s="3"/>
      <c r="H440" s="3"/>
    </row>
    <row r="441">
      <c r="B441" s="3"/>
      <c r="C441" s="3"/>
      <c r="D441" s="3"/>
      <c r="E441" s="3"/>
      <c r="F441" s="3"/>
      <c r="G441" s="3"/>
      <c r="H441" s="3"/>
    </row>
    <row r="442">
      <c r="B442" s="3"/>
      <c r="C442" s="3"/>
      <c r="D442" s="3"/>
      <c r="E442" s="3"/>
      <c r="F442" s="3"/>
      <c r="G442" s="3"/>
      <c r="H442" s="3"/>
    </row>
    <row r="443">
      <c r="B443" s="3"/>
      <c r="C443" s="3"/>
      <c r="D443" s="3"/>
      <c r="E443" s="3"/>
      <c r="F443" s="3"/>
      <c r="G443" s="3"/>
      <c r="H443" s="3"/>
    </row>
    <row r="444">
      <c r="B444" s="3"/>
      <c r="C444" s="3"/>
      <c r="D444" s="3"/>
      <c r="E444" s="3"/>
      <c r="F444" s="3"/>
      <c r="G444" s="3"/>
      <c r="H444" s="3"/>
    </row>
    <row r="445">
      <c r="B445" s="3"/>
      <c r="C445" s="3"/>
      <c r="D445" s="3"/>
      <c r="E445" s="3"/>
      <c r="F445" s="3"/>
      <c r="G445" s="3"/>
      <c r="H445" s="3"/>
    </row>
    <row r="446">
      <c r="B446" s="3"/>
      <c r="C446" s="3"/>
      <c r="D446" s="3"/>
      <c r="E446" s="3"/>
      <c r="F446" s="3"/>
      <c r="G446" s="3"/>
      <c r="H446" s="3"/>
    </row>
    <row r="447">
      <c r="B447" s="3"/>
      <c r="C447" s="3"/>
      <c r="D447" s="3"/>
      <c r="E447" s="3"/>
      <c r="F447" s="3"/>
      <c r="G447" s="3"/>
      <c r="H447" s="3"/>
    </row>
    <row r="448">
      <c r="B448" s="3"/>
      <c r="C448" s="3"/>
      <c r="D448" s="3"/>
      <c r="E448" s="3"/>
      <c r="F448" s="3"/>
      <c r="G448" s="3"/>
      <c r="H448" s="3"/>
    </row>
    <row r="449">
      <c r="B449" s="3"/>
      <c r="C449" s="3"/>
      <c r="D449" s="3"/>
      <c r="E449" s="3"/>
      <c r="F449" s="3"/>
      <c r="G449" s="3"/>
      <c r="H449" s="3"/>
    </row>
    <row r="450">
      <c r="B450" s="3"/>
      <c r="C450" s="3"/>
      <c r="D450" s="3"/>
      <c r="E450" s="3"/>
      <c r="F450" s="3"/>
      <c r="G450" s="3"/>
      <c r="H450" s="3"/>
    </row>
    <row r="451">
      <c r="B451" s="3"/>
      <c r="C451" s="3"/>
      <c r="D451" s="3"/>
      <c r="E451" s="3"/>
      <c r="F451" s="3"/>
      <c r="G451" s="3"/>
      <c r="H451" s="3"/>
    </row>
    <row r="452">
      <c r="B452" s="3"/>
      <c r="C452" s="3"/>
      <c r="D452" s="3"/>
      <c r="E452" s="3"/>
      <c r="F452" s="3"/>
      <c r="G452" s="3"/>
      <c r="H452" s="3"/>
    </row>
    <row r="453">
      <c r="B453" s="3"/>
      <c r="C453" s="3"/>
      <c r="D453" s="3"/>
      <c r="E453" s="3"/>
      <c r="F453" s="3"/>
      <c r="G453" s="3"/>
      <c r="H453" s="3"/>
    </row>
    <row r="454">
      <c r="B454" s="3"/>
      <c r="C454" s="3"/>
      <c r="D454" s="3"/>
      <c r="E454" s="3"/>
      <c r="F454" s="3"/>
      <c r="G454" s="3"/>
      <c r="H454" s="3"/>
    </row>
    <row r="455">
      <c r="B455" s="3"/>
      <c r="C455" s="3"/>
      <c r="D455" s="3"/>
      <c r="E455" s="3"/>
      <c r="F455" s="3"/>
      <c r="G455" s="3"/>
      <c r="H455" s="3"/>
    </row>
    <row r="456">
      <c r="B456" s="3"/>
      <c r="C456" s="3"/>
      <c r="D456" s="3"/>
      <c r="E456" s="3"/>
      <c r="F456" s="3"/>
      <c r="G456" s="3"/>
      <c r="H456" s="3"/>
    </row>
    <row r="457">
      <c r="B457" s="3"/>
      <c r="C457" s="3"/>
      <c r="D457" s="3"/>
      <c r="E457" s="3"/>
      <c r="F457" s="3"/>
      <c r="G457" s="3"/>
      <c r="H457" s="3"/>
    </row>
    <row r="458">
      <c r="B458" s="3"/>
      <c r="C458" s="3"/>
      <c r="D458" s="3"/>
      <c r="E458" s="3"/>
      <c r="F458" s="3"/>
      <c r="G458" s="3"/>
      <c r="H458" s="3"/>
    </row>
    <row r="459">
      <c r="B459" s="3"/>
      <c r="C459" s="3"/>
      <c r="D459" s="3"/>
      <c r="E459" s="3"/>
      <c r="F459" s="3"/>
      <c r="G459" s="3"/>
      <c r="H459" s="3"/>
    </row>
    <row r="460">
      <c r="B460" s="3"/>
      <c r="C460" s="3"/>
      <c r="D460" s="3"/>
      <c r="E460" s="3"/>
      <c r="F460" s="3"/>
      <c r="G460" s="3"/>
      <c r="H460" s="3"/>
    </row>
    <row r="461">
      <c r="B461" s="3"/>
      <c r="C461" s="3"/>
      <c r="D461" s="3"/>
      <c r="E461" s="3"/>
      <c r="F461" s="3"/>
      <c r="G461" s="3"/>
      <c r="H461" s="3"/>
    </row>
    <row r="462">
      <c r="B462" s="3"/>
      <c r="C462" s="3"/>
      <c r="D462" s="3"/>
      <c r="E462" s="3"/>
      <c r="F462" s="3"/>
      <c r="G462" s="3"/>
      <c r="H462" s="3"/>
    </row>
    <row r="463">
      <c r="B463" s="3"/>
      <c r="C463" s="3"/>
      <c r="D463" s="3"/>
      <c r="E463" s="3"/>
      <c r="F463" s="3"/>
      <c r="G463" s="3"/>
      <c r="H463" s="3"/>
    </row>
    <row r="464">
      <c r="B464" s="3"/>
      <c r="C464" s="3"/>
      <c r="D464" s="3"/>
      <c r="E464" s="3"/>
      <c r="F464" s="3"/>
      <c r="G464" s="3"/>
      <c r="H464" s="3"/>
    </row>
    <row r="465">
      <c r="B465" s="3"/>
      <c r="C465" s="3"/>
      <c r="D465" s="3"/>
      <c r="E465" s="3"/>
      <c r="F465" s="3"/>
      <c r="G465" s="3"/>
      <c r="H465" s="3"/>
    </row>
    <row r="466">
      <c r="B466" s="3"/>
      <c r="C466" s="3"/>
      <c r="D466" s="3"/>
      <c r="E466" s="3"/>
      <c r="F466" s="3"/>
      <c r="G466" s="3"/>
      <c r="H466" s="3"/>
    </row>
    <row r="467">
      <c r="B467" s="3"/>
      <c r="C467" s="3"/>
      <c r="D467" s="3"/>
      <c r="E467" s="3"/>
      <c r="F467" s="3"/>
      <c r="G467" s="3"/>
      <c r="H467" s="3"/>
    </row>
    <row r="468">
      <c r="B468" s="3"/>
      <c r="C468" s="3"/>
      <c r="D468" s="3"/>
      <c r="E468" s="3"/>
      <c r="F468" s="3"/>
      <c r="G468" s="3"/>
      <c r="H468" s="3"/>
    </row>
    <row r="469">
      <c r="B469" s="3"/>
      <c r="C469" s="3"/>
      <c r="D469" s="3"/>
      <c r="E469" s="3"/>
      <c r="F469" s="3"/>
      <c r="G469" s="3"/>
      <c r="H469" s="3"/>
    </row>
    <row r="470">
      <c r="B470" s="3"/>
      <c r="C470" s="3"/>
      <c r="D470" s="3"/>
      <c r="E470" s="3"/>
      <c r="F470" s="3"/>
      <c r="G470" s="3"/>
      <c r="H470" s="3"/>
    </row>
    <row r="471">
      <c r="B471" s="3"/>
      <c r="C471" s="3"/>
      <c r="D471" s="3"/>
      <c r="E471" s="3"/>
      <c r="F471" s="3"/>
      <c r="G471" s="3"/>
      <c r="H471" s="3"/>
    </row>
    <row r="472">
      <c r="B472" s="3"/>
      <c r="C472" s="3"/>
      <c r="D472" s="3"/>
      <c r="E472" s="3"/>
      <c r="F472" s="3"/>
      <c r="G472" s="3"/>
      <c r="H472" s="3"/>
    </row>
    <row r="473">
      <c r="B473" s="3"/>
      <c r="C473" s="3"/>
      <c r="D473" s="3"/>
      <c r="E473" s="3"/>
      <c r="F473" s="3"/>
      <c r="G473" s="3"/>
      <c r="H473" s="3"/>
    </row>
    <row r="474">
      <c r="B474" s="3"/>
      <c r="C474" s="3"/>
      <c r="D474" s="3"/>
      <c r="E474" s="3"/>
      <c r="F474" s="3"/>
      <c r="G474" s="3"/>
      <c r="H474" s="3"/>
    </row>
    <row r="475">
      <c r="B475" s="3"/>
      <c r="C475" s="3"/>
      <c r="D475" s="3"/>
      <c r="E475" s="3"/>
      <c r="F475" s="3"/>
      <c r="G475" s="3"/>
      <c r="H475" s="3"/>
    </row>
    <row r="476">
      <c r="B476" s="3"/>
      <c r="C476" s="3"/>
      <c r="D476" s="3"/>
      <c r="E476" s="3"/>
      <c r="F476" s="3"/>
      <c r="G476" s="3"/>
      <c r="H476" s="3"/>
    </row>
    <row r="477">
      <c r="B477" s="3"/>
      <c r="C477" s="3"/>
      <c r="D477" s="3"/>
      <c r="E477" s="3"/>
      <c r="F477" s="3"/>
      <c r="G477" s="3"/>
      <c r="H477" s="3"/>
    </row>
    <row r="478">
      <c r="B478" s="3"/>
      <c r="C478" s="3"/>
      <c r="D478" s="3"/>
      <c r="E478" s="3"/>
      <c r="F478" s="3"/>
      <c r="G478" s="3"/>
      <c r="H478" s="3"/>
    </row>
    <row r="479">
      <c r="B479" s="3"/>
      <c r="C479" s="3"/>
      <c r="D479" s="3"/>
      <c r="E479" s="3"/>
      <c r="F479" s="3"/>
      <c r="G479" s="3"/>
      <c r="H479" s="3"/>
    </row>
    <row r="480">
      <c r="B480" s="3"/>
      <c r="C480" s="3"/>
      <c r="D480" s="3"/>
      <c r="E480" s="3"/>
      <c r="F480" s="3"/>
      <c r="G480" s="3"/>
      <c r="H480" s="3"/>
    </row>
    <row r="481">
      <c r="B481" s="3"/>
      <c r="C481" s="3"/>
      <c r="D481" s="3"/>
      <c r="E481" s="3"/>
      <c r="F481" s="3"/>
      <c r="G481" s="3"/>
      <c r="H481" s="3"/>
    </row>
    <row r="482">
      <c r="B482" s="3"/>
      <c r="C482" s="3"/>
      <c r="D482" s="3"/>
      <c r="E482" s="3"/>
      <c r="F482" s="3"/>
      <c r="G482" s="3"/>
      <c r="H482" s="3"/>
    </row>
    <row r="483">
      <c r="B483" s="3"/>
      <c r="C483" s="3"/>
      <c r="D483" s="3"/>
      <c r="E483" s="3"/>
      <c r="F483" s="3"/>
      <c r="G483" s="3"/>
      <c r="H483" s="3"/>
    </row>
    <row r="484">
      <c r="B484" s="3"/>
      <c r="C484" s="3"/>
      <c r="D484" s="3"/>
      <c r="E484" s="3"/>
      <c r="F484" s="3"/>
      <c r="G484" s="3"/>
      <c r="H484" s="3"/>
    </row>
    <row r="485">
      <c r="B485" s="3"/>
      <c r="C485" s="3"/>
      <c r="D485" s="3"/>
      <c r="E485" s="3"/>
      <c r="F485" s="3"/>
      <c r="G485" s="3"/>
      <c r="H485" s="3"/>
    </row>
    <row r="486">
      <c r="B486" s="3"/>
      <c r="C486" s="3"/>
      <c r="D486" s="3"/>
      <c r="E486" s="3"/>
      <c r="F486" s="3"/>
      <c r="G486" s="3"/>
      <c r="H486" s="3"/>
    </row>
    <row r="487">
      <c r="B487" s="3"/>
      <c r="C487" s="3"/>
      <c r="D487" s="3"/>
      <c r="E487" s="3"/>
      <c r="F487" s="3"/>
      <c r="G487" s="3"/>
      <c r="H487" s="3"/>
    </row>
    <row r="488">
      <c r="B488" s="3"/>
      <c r="C488" s="3"/>
      <c r="D488" s="3"/>
      <c r="E488" s="3"/>
      <c r="F488" s="3"/>
      <c r="G488" s="3"/>
      <c r="H488" s="3"/>
    </row>
    <row r="489">
      <c r="B489" s="3"/>
      <c r="C489" s="3"/>
      <c r="D489" s="3"/>
      <c r="E489" s="3"/>
      <c r="F489" s="3"/>
      <c r="G489" s="3"/>
      <c r="H489" s="3"/>
    </row>
    <row r="490">
      <c r="B490" s="3"/>
      <c r="C490" s="3"/>
      <c r="D490" s="3"/>
      <c r="E490" s="3"/>
      <c r="F490" s="3"/>
      <c r="G490" s="3"/>
      <c r="H490" s="3"/>
    </row>
    <row r="491">
      <c r="B491" s="3"/>
      <c r="C491" s="3"/>
      <c r="D491" s="3"/>
      <c r="E491" s="3"/>
      <c r="F491" s="3"/>
      <c r="G491" s="3"/>
      <c r="H491" s="3"/>
    </row>
    <row r="492">
      <c r="B492" s="3"/>
      <c r="C492" s="3"/>
      <c r="D492" s="3"/>
      <c r="E492" s="3"/>
      <c r="F492" s="3"/>
      <c r="G492" s="3"/>
      <c r="H492" s="3"/>
    </row>
    <row r="493">
      <c r="B493" s="3"/>
      <c r="C493" s="3"/>
      <c r="D493" s="3"/>
      <c r="E493" s="3"/>
      <c r="F493" s="3"/>
      <c r="G493" s="3"/>
      <c r="H493" s="3"/>
    </row>
    <row r="494">
      <c r="B494" s="3"/>
      <c r="C494" s="3"/>
      <c r="D494" s="3"/>
      <c r="E494" s="3"/>
      <c r="F494" s="3"/>
      <c r="G494" s="3"/>
      <c r="H494" s="3"/>
    </row>
    <row r="495">
      <c r="B495" s="3"/>
      <c r="C495" s="3"/>
      <c r="D495" s="3"/>
      <c r="E495" s="3"/>
      <c r="F495" s="3"/>
      <c r="G495" s="3"/>
      <c r="H495" s="3"/>
    </row>
    <row r="496">
      <c r="B496" s="3"/>
      <c r="C496" s="3"/>
      <c r="D496" s="3"/>
      <c r="E496" s="3"/>
      <c r="F496" s="3"/>
      <c r="G496" s="3"/>
      <c r="H496" s="3"/>
    </row>
    <row r="497">
      <c r="B497" s="3"/>
      <c r="C497" s="3"/>
      <c r="D497" s="3"/>
      <c r="E497" s="3"/>
      <c r="F497" s="3"/>
      <c r="G497" s="3"/>
      <c r="H497" s="3"/>
    </row>
    <row r="498">
      <c r="B498" s="3"/>
      <c r="C498" s="3"/>
      <c r="D498" s="3"/>
      <c r="E498" s="3"/>
      <c r="F498" s="3"/>
      <c r="G498" s="3"/>
      <c r="H498" s="3"/>
    </row>
    <row r="499">
      <c r="B499" s="3"/>
      <c r="C499" s="3"/>
      <c r="D499" s="3"/>
      <c r="E499" s="3"/>
      <c r="F499" s="3"/>
      <c r="G499" s="3"/>
      <c r="H499" s="3"/>
    </row>
    <row r="500">
      <c r="B500" s="3"/>
      <c r="C500" s="3"/>
      <c r="D500" s="3"/>
      <c r="E500" s="3"/>
      <c r="F500" s="3"/>
      <c r="G500" s="3"/>
      <c r="H500" s="3"/>
    </row>
    <row r="501">
      <c r="B501" s="3"/>
      <c r="C501" s="3"/>
      <c r="D501" s="3"/>
      <c r="E501" s="3"/>
      <c r="F501" s="3"/>
      <c r="G501" s="3"/>
      <c r="H501" s="3"/>
    </row>
    <row r="502">
      <c r="B502" s="3"/>
      <c r="C502" s="3"/>
      <c r="D502" s="3"/>
      <c r="E502" s="3"/>
      <c r="F502" s="3"/>
      <c r="G502" s="3"/>
      <c r="H502" s="3"/>
    </row>
    <row r="503">
      <c r="B503" s="3"/>
      <c r="C503" s="3"/>
      <c r="D503" s="3"/>
      <c r="E503" s="3"/>
      <c r="F503" s="3"/>
      <c r="G503" s="3"/>
      <c r="H503" s="3"/>
    </row>
    <row r="504">
      <c r="B504" s="3"/>
      <c r="C504" s="3"/>
      <c r="D504" s="3"/>
      <c r="E504" s="3"/>
      <c r="F504" s="3"/>
      <c r="G504" s="3"/>
      <c r="H504" s="3"/>
    </row>
    <row r="505">
      <c r="B505" s="3"/>
      <c r="C505" s="3"/>
      <c r="D505" s="3"/>
      <c r="E505" s="3"/>
      <c r="F505" s="3"/>
      <c r="G505" s="3"/>
      <c r="H505" s="3"/>
    </row>
    <row r="506">
      <c r="B506" s="3"/>
      <c r="C506" s="3"/>
      <c r="D506" s="3"/>
      <c r="E506" s="3"/>
      <c r="F506" s="3"/>
      <c r="G506" s="3"/>
      <c r="H506" s="3"/>
    </row>
    <row r="507">
      <c r="B507" s="3"/>
      <c r="C507" s="3"/>
      <c r="D507" s="3"/>
      <c r="E507" s="3"/>
      <c r="F507" s="3"/>
      <c r="G507" s="3"/>
      <c r="H507" s="3"/>
    </row>
    <row r="508">
      <c r="B508" s="3"/>
      <c r="C508" s="3"/>
      <c r="D508" s="3"/>
      <c r="E508" s="3"/>
      <c r="F508" s="3"/>
      <c r="G508" s="3"/>
      <c r="H508" s="3"/>
    </row>
    <row r="509">
      <c r="B509" s="3"/>
      <c r="C509" s="3"/>
      <c r="D509" s="3"/>
      <c r="E509" s="3"/>
      <c r="F509" s="3"/>
      <c r="G509" s="3"/>
      <c r="H509" s="3"/>
    </row>
    <row r="510">
      <c r="B510" s="3"/>
      <c r="C510" s="3"/>
      <c r="D510" s="3"/>
      <c r="E510" s="3"/>
      <c r="F510" s="3"/>
      <c r="G510" s="3"/>
      <c r="H510" s="3"/>
    </row>
    <row r="511">
      <c r="B511" s="3"/>
      <c r="C511" s="3"/>
      <c r="D511" s="3"/>
      <c r="E511" s="3"/>
      <c r="F511" s="3"/>
      <c r="G511" s="3"/>
      <c r="H511" s="3"/>
    </row>
    <row r="512">
      <c r="B512" s="3"/>
      <c r="C512" s="3"/>
      <c r="D512" s="3"/>
      <c r="E512" s="3"/>
      <c r="F512" s="3"/>
      <c r="G512" s="3"/>
      <c r="H512" s="3"/>
    </row>
    <row r="513">
      <c r="B513" s="3"/>
      <c r="C513" s="3"/>
      <c r="D513" s="3"/>
      <c r="E513" s="3"/>
      <c r="F513" s="3"/>
      <c r="G513" s="3"/>
      <c r="H513" s="3"/>
    </row>
    <row r="514">
      <c r="B514" s="3"/>
      <c r="C514" s="3"/>
      <c r="D514" s="3"/>
      <c r="E514" s="3"/>
      <c r="F514" s="3"/>
      <c r="G514" s="3"/>
      <c r="H514" s="3"/>
    </row>
    <row r="515">
      <c r="B515" s="3"/>
      <c r="C515" s="3"/>
      <c r="D515" s="3"/>
      <c r="E515" s="3"/>
      <c r="F515" s="3"/>
      <c r="G515" s="3"/>
      <c r="H515" s="3"/>
    </row>
    <row r="516">
      <c r="B516" s="3"/>
      <c r="C516" s="3"/>
      <c r="D516" s="3"/>
      <c r="E516" s="3"/>
      <c r="F516" s="3"/>
      <c r="G516" s="3"/>
      <c r="H516" s="3"/>
    </row>
    <row r="517">
      <c r="B517" s="3"/>
      <c r="C517" s="3"/>
      <c r="D517" s="3"/>
      <c r="E517" s="3"/>
      <c r="F517" s="3"/>
      <c r="G517" s="3"/>
      <c r="H517" s="3"/>
    </row>
    <row r="518">
      <c r="B518" s="3"/>
      <c r="C518" s="3"/>
      <c r="D518" s="3"/>
      <c r="E518" s="3"/>
      <c r="F518" s="3"/>
      <c r="G518" s="3"/>
      <c r="H518" s="3"/>
    </row>
    <row r="519">
      <c r="B519" s="3"/>
      <c r="C519" s="3"/>
      <c r="D519" s="3"/>
      <c r="E519" s="3"/>
      <c r="F519" s="3"/>
      <c r="G519" s="3"/>
      <c r="H519" s="3"/>
    </row>
    <row r="520">
      <c r="B520" s="3"/>
      <c r="C520" s="3"/>
      <c r="D520" s="3"/>
      <c r="E520" s="3"/>
      <c r="F520" s="3"/>
      <c r="G520" s="3"/>
      <c r="H520" s="3"/>
    </row>
    <row r="521">
      <c r="B521" s="3"/>
      <c r="C521" s="3"/>
      <c r="D521" s="3"/>
      <c r="E521" s="3"/>
      <c r="F521" s="3"/>
      <c r="G521" s="3"/>
      <c r="H521" s="3"/>
    </row>
    <row r="522">
      <c r="B522" s="3"/>
      <c r="C522" s="3"/>
      <c r="D522" s="3"/>
      <c r="E522" s="3"/>
      <c r="F522" s="3"/>
      <c r="G522" s="3"/>
      <c r="H522" s="3"/>
    </row>
    <row r="523">
      <c r="B523" s="3"/>
      <c r="C523" s="3"/>
      <c r="D523" s="3"/>
      <c r="E523" s="3"/>
      <c r="F523" s="3"/>
      <c r="G523" s="3"/>
      <c r="H523" s="3"/>
    </row>
    <row r="524">
      <c r="B524" s="3"/>
      <c r="C524" s="3"/>
      <c r="D524" s="3"/>
      <c r="E524" s="3"/>
      <c r="F524" s="3"/>
      <c r="G524" s="3"/>
      <c r="H524" s="3"/>
    </row>
    <row r="525">
      <c r="B525" s="3"/>
      <c r="C525" s="3"/>
      <c r="D525" s="3"/>
      <c r="E525" s="3"/>
      <c r="F525" s="3"/>
      <c r="G525" s="3"/>
      <c r="H525" s="3"/>
    </row>
    <row r="526">
      <c r="B526" s="3"/>
      <c r="C526" s="3"/>
      <c r="D526" s="3"/>
      <c r="E526" s="3"/>
      <c r="F526" s="3"/>
      <c r="G526" s="3"/>
      <c r="H526" s="3"/>
    </row>
    <row r="527">
      <c r="B527" s="3"/>
      <c r="C527" s="3"/>
      <c r="D527" s="3"/>
      <c r="E527" s="3"/>
      <c r="F527" s="3"/>
      <c r="G527" s="3"/>
      <c r="H527" s="3"/>
    </row>
    <row r="528">
      <c r="B528" s="3"/>
      <c r="C528" s="3"/>
      <c r="D528" s="3"/>
      <c r="E528" s="3"/>
      <c r="F528" s="3"/>
      <c r="G528" s="3"/>
      <c r="H528" s="3"/>
    </row>
    <row r="529">
      <c r="B529" s="3"/>
      <c r="C529" s="3"/>
      <c r="D529" s="3"/>
      <c r="E529" s="3"/>
      <c r="F529" s="3"/>
      <c r="G529" s="3"/>
      <c r="H529" s="3"/>
    </row>
    <row r="530">
      <c r="B530" s="3"/>
      <c r="C530" s="3"/>
      <c r="D530" s="3"/>
      <c r="E530" s="3"/>
      <c r="F530" s="3"/>
      <c r="G530" s="3"/>
      <c r="H530" s="3"/>
    </row>
    <row r="531">
      <c r="B531" s="3"/>
      <c r="C531" s="3"/>
      <c r="D531" s="3"/>
      <c r="E531" s="3"/>
      <c r="F531" s="3"/>
      <c r="G531" s="3"/>
      <c r="H531" s="3"/>
    </row>
    <row r="532">
      <c r="B532" s="3"/>
      <c r="C532" s="3"/>
      <c r="D532" s="3"/>
      <c r="E532" s="3"/>
      <c r="F532" s="3"/>
      <c r="G532" s="3"/>
      <c r="H532" s="3"/>
    </row>
    <row r="533">
      <c r="B533" s="3"/>
      <c r="C533" s="3"/>
      <c r="D533" s="3"/>
      <c r="E533" s="3"/>
      <c r="F533" s="3"/>
      <c r="G533" s="3"/>
      <c r="H533" s="3"/>
    </row>
    <row r="534">
      <c r="B534" s="3"/>
      <c r="C534" s="3"/>
      <c r="D534" s="3"/>
      <c r="E534" s="3"/>
      <c r="F534" s="3"/>
      <c r="G534" s="3"/>
      <c r="H534" s="3"/>
    </row>
    <row r="535">
      <c r="B535" s="3"/>
      <c r="C535" s="3"/>
      <c r="D535" s="3"/>
      <c r="E535" s="3"/>
      <c r="F535" s="3"/>
      <c r="G535" s="3"/>
      <c r="H535" s="3"/>
    </row>
    <row r="536">
      <c r="B536" s="3"/>
      <c r="C536" s="3"/>
      <c r="D536" s="3"/>
      <c r="E536" s="3"/>
      <c r="F536" s="3"/>
      <c r="G536" s="3"/>
      <c r="H536" s="3"/>
    </row>
    <row r="537">
      <c r="B537" s="3"/>
      <c r="C537" s="3"/>
      <c r="D537" s="3"/>
      <c r="E537" s="3"/>
      <c r="F537" s="3"/>
      <c r="G537" s="3"/>
      <c r="H537" s="3"/>
    </row>
    <row r="538">
      <c r="B538" s="3"/>
      <c r="C538" s="3"/>
      <c r="D538" s="3"/>
      <c r="E538" s="3"/>
      <c r="F538" s="3"/>
      <c r="G538" s="3"/>
      <c r="H538" s="3"/>
    </row>
    <row r="539">
      <c r="B539" s="3"/>
      <c r="C539" s="3"/>
      <c r="D539" s="3"/>
      <c r="E539" s="3"/>
      <c r="F539" s="3"/>
      <c r="G539" s="3"/>
      <c r="H539" s="3"/>
    </row>
    <row r="540">
      <c r="B540" s="3"/>
      <c r="C540" s="3"/>
      <c r="D540" s="3"/>
      <c r="E540" s="3"/>
      <c r="F540" s="3"/>
      <c r="G540" s="3"/>
      <c r="H540" s="3"/>
    </row>
    <row r="541">
      <c r="B541" s="3"/>
      <c r="C541" s="3"/>
      <c r="D541" s="3"/>
      <c r="E541" s="3"/>
      <c r="F541" s="3"/>
      <c r="G541" s="3"/>
      <c r="H541" s="3"/>
    </row>
    <row r="542">
      <c r="B542" s="3"/>
      <c r="C542" s="3"/>
      <c r="D542" s="3"/>
      <c r="E542" s="3"/>
      <c r="F542" s="3"/>
      <c r="G542" s="3"/>
      <c r="H542" s="3"/>
    </row>
    <row r="543">
      <c r="B543" s="3"/>
      <c r="C543" s="3"/>
      <c r="D543" s="3"/>
      <c r="E543" s="3"/>
      <c r="F543" s="3"/>
      <c r="G543" s="3"/>
      <c r="H543" s="3"/>
    </row>
    <row r="544">
      <c r="B544" s="3"/>
      <c r="C544" s="3"/>
      <c r="D544" s="3"/>
      <c r="E544" s="3"/>
      <c r="F544" s="3"/>
      <c r="G544" s="3"/>
      <c r="H544" s="3"/>
    </row>
    <row r="545">
      <c r="B545" s="3"/>
      <c r="C545" s="3"/>
      <c r="D545" s="3"/>
      <c r="E545" s="3"/>
      <c r="F545" s="3"/>
      <c r="G545" s="3"/>
      <c r="H545" s="3"/>
    </row>
    <row r="546">
      <c r="B546" s="3"/>
      <c r="C546" s="3"/>
      <c r="D546" s="3"/>
      <c r="E546" s="3"/>
      <c r="F546" s="3"/>
      <c r="G546" s="3"/>
      <c r="H546" s="3"/>
    </row>
    <row r="547">
      <c r="B547" s="3"/>
      <c r="C547" s="3"/>
      <c r="D547" s="3"/>
      <c r="E547" s="3"/>
      <c r="F547" s="3"/>
      <c r="G547" s="3"/>
      <c r="H547" s="3"/>
    </row>
    <row r="548">
      <c r="B548" s="3"/>
      <c r="C548" s="3"/>
      <c r="D548" s="3"/>
      <c r="E548" s="3"/>
      <c r="F548" s="3"/>
      <c r="G548" s="3"/>
      <c r="H548" s="3"/>
    </row>
    <row r="549">
      <c r="B549" s="3"/>
      <c r="C549" s="3"/>
      <c r="D549" s="3"/>
      <c r="E549" s="3"/>
      <c r="F549" s="3"/>
      <c r="G549" s="3"/>
      <c r="H549" s="3"/>
    </row>
    <row r="550">
      <c r="B550" s="3"/>
      <c r="C550" s="3"/>
      <c r="D550" s="3"/>
      <c r="E550" s="3"/>
      <c r="F550" s="3"/>
      <c r="G550" s="3"/>
      <c r="H550" s="3"/>
    </row>
    <row r="551">
      <c r="B551" s="3"/>
      <c r="C551" s="3"/>
      <c r="D551" s="3"/>
      <c r="E551" s="3"/>
      <c r="F551" s="3"/>
      <c r="G551" s="3"/>
      <c r="H551" s="3"/>
    </row>
    <row r="552">
      <c r="B552" s="3"/>
      <c r="C552" s="3"/>
      <c r="D552" s="3"/>
      <c r="E552" s="3"/>
      <c r="F552" s="3"/>
      <c r="G552" s="3"/>
      <c r="H552" s="3"/>
    </row>
    <row r="553">
      <c r="B553" s="3"/>
      <c r="C553" s="3"/>
      <c r="D553" s="3"/>
      <c r="E553" s="3"/>
      <c r="F553" s="3"/>
      <c r="G553" s="3"/>
      <c r="H553" s="3"/>
    </row>
    <row r="554">
      <c r="B554" s="3"/>
      <c r="C554" s="3"/>
      <c r="D554" s="3"/>
      <c r="E554" s="3"/>
      <c r="F554" s="3"/>
      <c r="G554" s="3"/>
      <c r="H554" s="3"/>
    </row>
    <row r="555">
      <c r="B555" s="3"/>
      <c r="C555" s="3"/>
      <c r="D555" s="3"/>
      <c r="E555" s="3"/>
      <c r="F555" s="3"/>
      <c r="G555" s="3"/>
      <c r="H555" s="3"/>
    </row>
    <row r="556">
      <c r="B556" s="3"/>
      <c r="C556" s="3"/>
      <c r="D556" s="3"/>
      <c r="E556" s="3"/>
      <c r="F556" s="3"/>
      <c r="G556" s="3"/>
      <c r="H556" s="3"/>
    </row>
    <row r="557">
      <c r="B557" s="3"/>
      <c r="C557" s="3"/>
      <c r="D557" s="3"/>
      <c r="E557" s="3"/>
      <c r="F557" s="3"/>
      <c r="G557" s="3"/>
      <c r="H557" s="3"/>
    </row>
    <row r="558">
      <c r="B558" s="3"/>
      <c r="C558" s="3"/>
      <c r="D558" s="3"/>
      <c r="E558" s="3"/>
      <c r="F558" s="3"/>
      <c r="G558" s="3"/>
      <c r="H558" s="3"/>
    </row>
    <row r="559">
      <c r="B559" s="3"/>
      <c r="C559" s="3"/>
      <c r="D559" s="3"/>
      <c r="E559" s="3"/>
      <c r="F559" s="3"/>
      <c r="G559" s="3"/>
      <c r="H559" s="3"/>
    </row>
    <row r="560">
      <c r="B560" s="3"/>
      <c r="C560" s="3"/>
      <c r="D560" s="3"/>
      <c r="E560" s="3"/>
      <c r="F560" s="3"/>
      <c r="G560" s="3"/>
      <c r="H560" s="3"/>
    </row>
    <row r="561">
      <c r="B561" s="3"/>
      <c r="C561" s="3"/>
      <c r="D561" s="3"/>
      <c r="E561" s="3"/>
      <c r="F561" s="3"/>
      <c r="G561" s="3"/>
      <c r="H561" s="3"/>
    </row>
    <row r="562">
      <c r="B562" s="3"/>
      <c r="C562" s="3"/>
      <c r="D562" s="3"/>
      <c r="E562" s="3"/>
      <c r="F562" s="3"/>
      <c r="G562" s="3"/>
      <c r="H562" s="3"/>
    </row>
    <row r="563">
      <c r="B563" s="3"/>
      <c r="C563" s="3"/>
      <c r="D563" s="3"/>
      <c r="E563" s="3"/>
      <c r="F563" s="3"/>
      <c r="G563" s="3"/>
      <c r="H563" s="3"/>
    </row>
    <row r="564">
      <c r="B564" s="3"/>
      <c r="C564" s="3"/>
      <c r="D564" s="3"/>
      <c r="E564" s="3"/>
      <c r="F564" s="3"/>
      <c r="G564" s="3"/>
      <c r="H564" s="3"/>
    </row>
    <row r="565">
      <c r="B565" s="3"/>
      <c r="C565" s="3"/>
      <c r="D565" s="3"/>
      <c r="E565" s="3"/>
      <c r="F565" s="3"/>
      <c r="G565" s="3"/>
      <c r="H565" s="3"/>
    </row>
    <row r="566">
      <c r="B566" s="3"/>
      <c r="C566" s="3"/>
      <c r="D566" s="3"/>
      <c r="E566" s="3"/>
      <c r="F566" s="3"/>
      <c r="G566" s="3"/>
      <c r="H566" s="3"/>
    </row>
    <row r="567">
      <c r="B567" s="3"/>
      <c r="C567" s="3"/>
      <c r="D567" s="3"/>
      <c r="E567" s="3"/>
      <c r="F567" s="3"/>
      <c r="G567" s="3"/>
      <c r="H567" s="3"/>
    </row>
    <row r="568">
      <c r="B568" s="3"/>
      <c r="C568" s="3"/>
      <c r="D568" s="3"/>
      <c r="E568" s="3"/>
      <c r="F568" s="3"/>
      <c r="G568" s="3"/>
      <c r="H568" s="3"/>
    </row>
    <row r="569">
      <c r="B569" s="3"/>
      <c r="C569" s="3"/>
      <c r="D569" s="3"/>
      <c r="E569" s="3"/>
      <c r="F569" s="3"/>
      <c r="G569" s="3"/>
      <c r="H569" s="3"/>
    </row>
    <row r="570">
      <c r="B570" s="3"/>
      <c r="C570" s="3"/>
      <c r="D570" s="3"/>
      <c r="E570" s="3"/>
      <c r="F570" s="3"/>
      <c r="G570" s="3"/>
      <c r="H570" s="3"/>
    </row>
    <row r="571">
      <c r="B571" s="3"/>
      <c r="C571" s="3"/>
      <c r="D571" s="3"/>
      <c r="E571" s="3"/>
      <c r="F571" s="3"/>
      <c r="G571" s="3"/>
      <c r="H571" s="3"/>
    </row>
    <row r="572">
      <c r="B572" s="3"/>
      <c r="C572" s="3"/>
      <c r="D572" s="3"/>
      <c r="E572" s="3"/>
      <c r="F572" s="3"/>
      <c r="G572" s="3"/>
      <c r="H572" s="3"/>
    </row>
    <row r="573">
      <c r="B573" s="3"/>
      <c r="C573" s="3"/>
      <c r="D573" s="3"/>
      <c r="E573" s="3"/>
      <c r="F573" s="3"/>
      <c r="G573" s="3"/>
      <c r="H573" s="3"/>
    </row>
    <row r="574">
      <c r="B574" s="3"/>
      <c r="C574" s="3"/>
      <c r="D574" s="3"/>
      <c r="E574" s="3"/>
      <c r="F574" s="3"/>
      <c r="G574" s="3"/>
      <c r="H574" s="3"/>
    </row>
    <row r="575">
      <c r="B575" s="3"/>
      <c r="C575" s="3"/>
      <c r="D575" s="3"/>
      <c r="E575" s="3"/>
      <c r="F575" s="3"/>
      <c r="G575" s="3"/>
      <c r="H575" s="3"/>
    </row>
    <row r="576">
      <c r="B576" s="3"/>
      <c r="C576" s="3"/>
      <c r="D576" s="3"/>
      <c r="E576" s="3"/>
      <c r="F576" s="3"/>
      <c r="G576" s="3"/>
      <c r="H576" s="3"/>
    </row>
    <row r="577">
      <c r="B577" s="3"/>
      <c r="C577" s="3"/>
      <c r="D577" s="3"/>
      <c r="E577" s="3"/>
      <c r="F577" s="3"/>
      <c r="G577" s="3"/>
      <c r="H577" s="3"/>
    </row>
    <row r="578">
      <c r="B578" s="3"/>
      <c r="C578" s="3"/>
      <c r="D578" s="3"/>
      <c r="E578" s="3"/>
      <c r="F578" s="3"/>
      <c r="G578" s="3"/>
      <c r="H578" s="3"/>
    </row>
    <row r="579">
      <c r="B579" s="3"/>
      <c r="C579" s="3"/>
      <c r="D579" s="3"/>
      <c r="E579" s="3"/>
      <c r="F579" s="3"/>
      <c r="G579" s="3"/>
      <c r="H579" s="3"/>
    </row>
    <row r="580">
      <c r="B580" s="3"/>
      <c r="C580" s="3"/>
      <c r="D580" s="3"/>
      <c r="E580" s="3"/>
      <c r="F580" s="3"/>
      <c r="G580" s="3"/>
      <c r="H580" s="3"/>
    </row>
    <row r="581">
      <c r="B581" s="3"/>
      <c r="C581" s="3"/>
      <c r="D581" s="3"/>
      <c r="E581" s="3"/>
      <c r="F581" s="3"/>
      <c r="G581" s="3"/>
      <c r="H581" s="3"/>
    </row>
    <row r="582">
      <c r="B582" s="3"/>
      <c r="C582" s="3"/>
      <c r="D582" s="3"/>
      <c r="E582" s="3"/>
      <c r="F582" s="3"/>
      <c r="G582" s="3"/>
      <c r="H582" s="3"/>
    </row>
    <row r="583">
      <c r="B583" s="3"/>
      <c r="C583" s="3"/>
      <c r="D583" s="3"/>
      <c r="E583" s="3"/>
      <c r="F583" s="3"/>
      <c r="G583" s="3"/>
      <c r="H583" s="3"/>
    </row>
    <row r="584">
      <c r="B584" s="3"/>
      <c r="C584" s="3"/>
      <c r="D584" s="3"/>
      <c r="E584" s="3"/>
      <c r="F584" s="3"/>
      <c r="G584" s="3"/>
      <c r="H584" s="3"/>
    </row>
    <row r="585">
      <c r="B585" s="3"/>
      <c r="C585" s="3"/>
      <c r="D585" s="3"/>
      <c r="E585" s="3"/>
      <c r="F585" s="3"/>
      <c r="G585" s="3"/>
      <c r="H585" s="3"/>
    </row>
    <row r="586">
      <c r="B586" s="3"/>
      <c r="C586" s="3"/>
      <c r="D586" s="3"/>
      <c r="E586" s="3"/>
      <c r="F586" s="3"/>
      <c r="G586" s="3"/>
      <c r="H586" s="3"/>
    </row>
    <row r="587">
      <c r="B587" s="3"/>
      <c r="C587" s="3"/>
      <c r="D587" s="3"/>
      <c r="E587" s="3"/>
      <c r="F587" s="3"/>
      <c r="G587" s="3"/>
      <c r="H587" s="3"/>
    </row>
    <row r="588">
      <c r="B588" s="3"/>
      <c r="C588" s="3"/>
      <c r="D588" s="3"/>
      <c r="E588" s="3"/>
      <c r="F588" s="3"/>
      <c r="G588" s="3"/>
      <c r="H588" s="3"/>
    </row>
    <row r="589">
      <c r="B589" s="3"/>
      <c r="C589" s="3"/>
      <c r="D589" s="3"/>
      <c r="E589" s="3"/>
      <c r="F589" s="3"/>
      <c r="G589" s="3"/>
      <c r="H589" s="3"/>
    </row>
    <row r="590">
      <c r="B590" s="3"/>
      <c r="C590" s="3"/>
      <c r="D590" s="3"/>
      <c r="E590" s="3"/>
      <c r="F590" s="3"/>
      <c r="G590" s="3"/>
      <c r="H590" s="3"/>
    </row>
    <row r="591">
      <c r="B591" s="3"/>
      <c r="C591" s="3"/>
      <c r="D591" s="3"/>
      <c r="E591" s="3"/>
      <c r="F591" s="3"/>
      <c r="G591" s="3"/>
      <c r="H591" s="3"/>
    </row>
    <row r="592">
      <c r="B592" s="3"/>
      <c r="C592" s="3"/>
      <c r="D592" s="3"/>
      <c r="E592" s="3"/>
      <c r="F592" s="3"/>
      <c r="G592" s="3"/>
      <c r="H592" s="3"/>
    </row>
    <row r="593">
      <c r="B593" s="3"/>
      <c r="C593" s="3"/>
      <c r="D593" s="3"/>
      <c r="E593" s="3"/>
      <c r="F593" s="3"/>
      <c r="G593" s="3"/>
      <c r="H593" s="3"/>
    </row>
    <row r="594">
      <c r="B594" s="3"/>
      <c r="C594" s="3"/>
      <c r="D594" s="3"/>
      <c r="E594" s="3"/>
      <c r="F594" s="3"/>
      <c r="G594" s="3"/>
      <c r="H594" s="3"/>
    </row>
    <row r="595">
      <c r="B595" s="3"/>
      <c r="C595" s="3"/>
      <c r="D595" s="3"/>
      <c r="E595" s="3"/>
      <c r="F595" s="3"/>
      <c r="G595" s="3"/>
      <c r="H595" s="3"/>
    </row>
    <row r="596">
      <c r="B596" s="3"/>
      <c r="C596" s="3"/>
      <c r="D596" s="3"/>
      <c r="E596" s="3"/>
      <c r="F596" s="3"/>
      <c r="G596" s="3"/>
      <c r="H596" s="3"/>
    </row>
    <row r="597">
      <c r="B597" s="3"/>
      <c r="C597" s="3"/>
      <c r="D597" s="3"/>
      <c r="E597" s="3"/>
      <c r="F597" s="3"/>
      <c r="G597" s="3"/>
      <c r="H597" s="3"/>
    </row>
    <row r="598">
      <c r="B598" s="3"/>
      <c r="C598" s="3"/>
      <c r="D598" s="3"/>
      <c r="E598" s="3"/>
      <c r="F598" s="3"/>
      <c r="G598" s="3"/>
      <c r="H598" s="3"/>
    </row>
    <row r="599">
      <c r="B599" s="3"/>
      <c r="C599" s="3"/>
      <c r="D599" s="3"/>
      <c r="E599" s="3"/>
      <c r="F599" s="3"/>
      <c r="G599" s="3"/>
      <c r="H599" s="3"/>
    </row>
    <row r="600">
      <c r="B600" s="3"/>
      <c r="C600" s="3"/>
      <c r="D600" s="3"/>
      <c r="E600" s="3"/>
      <c r="F600" s="3"/>
      <c r="G600" s="3"/>
      <c r="H600" s="3"/>
    </row>
    <row r="601">
      <c r="B601" s="3"/>
      <c r="C601" s="3"/>
      <c r="D601" s="3"/>
      <c r="E601" s="3"/>
      <c r="F601" s="3"/>
      <c r="G601" s="3"/>
      <c r="H601" s="3"/>
    </row>
    <row r="602">
      <c r="B602" s="3"/>
      <c r="C602" s="3"/>
      <c r="D602" s="3"/>
      <c r="E602" s="3"/>
      <c r="F602" s="3"/>
      <c r="G602" s="3"/>
      <c r="H602" s="3"/>
    </row>
    <row r="603">
      <c r="B603" s="3"/>
      <c r="C603" s="3"/>
      <c r="D603" s="3"/>
      <c r="E603" s="3"/>
      <c r="F603" s="3"/>
      <c r="G603" s="3"/>
      <c r="H603" s="3"/>
    </row>
    <row r="604">
      <c r="B604" s="3"/>
      <c r="C604" s="3"/>
      <c r="D604" s="3"/>
      <c r="E604" s="3"/>
      <c r="F604" s="3"/>
      <c r="G604" s="3"/>
      <c r="H604" s="3"/>
    </row>
    <row r="605">
      <c r="B605" s="3"/>
      <c r="C605" s="3"/>
      <c r="D605" s="3"/>
      <c r="E605" s="3"/>
      <c r="F605" s="3"/>
      <c r="G605" s="3"/>
      <c r="H605" s="3"/>
    </row>
    <row r="606">
      <c r="B606" s="3"/>
      <c r="C606" s="3"/>
      <c r="D606" s="3"/>
      <c r="E606" s="3"/>
      <c r="F606" s="3"/>
      <c r="G606" s="3"/>
      <c r="H606" s="3"/>
    </row>
    <row r="607">
      <c r="B607" s="3"/>
      <c r="C607" s="3"/>
      <c r="D607" s="3"/>
      <c r="E607" s="3"/>
      <c r="F607" s="3"/>
      <c r="G607" s="3"/>
      <c r="H607" s="3"/>
    </row>
    <row r="608">
      <c r="B608" s="3"/>
      <c r="C608" s="3"/>
      <c r="D608" s="3"/>
      <c r="E608" s="3"/>
      <c r="F608" s="3"/>
      <c r="G608" s="3"/>
      <c r="H608" s="3"/>
    </row>
    <row r="609">
      <c r="B609" s="3"/>
      <c r="C609" s="3"/>
      <c r="D609" s="3"/>
      <c r="E609" s="3"/>
      <c r="F609" s="3"/>
      <c r="G609" s="3"/>
      <c r="H609" s="3"/>
    </row>
    <row r="610">
      <c r="B610" s="3"/>
      <c r="C610" s="3"/>
      <c r="D610" s="3"/>
      <c r="E610" s="3"/>
      <c r="F610" s="3"/>
      <c r="G610" s="3"/>
      <c r="H610" s="3"/>
    </row>
    <row r="611">
      <c r="B611" s="3"/>
      <c r="C611" s="3"/>
      <c r="D611" s="3"/>
      <c r="E611" s="3"/>
      <c r="F611" s="3"/>
      <c r="G611" s="3"/>
      <c r="H611" s="3"/>
    </row>
    <row r="612">
      <c r="B612" s="3"/>
      <c r="C612" s="3"/>
      <c r="D612" s="3"/>
      <c r="E612" s="3"/>
      <c r="F612" s="3"/>
      <c r="G612" s="3"/>
      <c r="H612" s="3"/>
    </row>
    <row r="613">
      <c r="B613" s="3"/>
      <c r="C613" s="3"/>
      <c r="D613" s="3"/>
      <c r="E613" s="3"/>
      <c r="F613" s="3"/>
      <c r="G613" s="3"/>
      <c r="H613" s="3"/>
    </row>
    <row r="614">
      <c r="B614" s="3"/>
      <c r="C614" s="3"/>
      <c r="D614" s="3"/>
      <c r="E614" s="3"/>
      <c r="F614" s="3"/>
      <c r="G614" s="3"/>
      <c r="H614" s="3"/>
    </row>
    <row r="615">
      <c r="B615" s="3"/>
      <c r="C615" s="3"/>
      <c r="D615" s="3"/>
      <c r="E615" s="3"/>
      <c r="F615" s="3"/>
      <c r="G615" s="3"/>
      <c r="H615" s="3"/>
    </row>
    <row r="616">
      <c r="B616" s="3"/>
      <c r="C616" s="3"/>
      <c r="D616" s="3"/>
      <c r="E616" s="3"/>
      <c r="F616" s="3"/>
      <c r="G616" s="3"/>
      <c r="H616" s="3"/>
    </row>
    <row r="617">
      <c r="B617" s="3"/>
      <c r="C617" s="3"/>
      <c r="D617" s="3"/>
      <c r="E617" s="3"/>
      <c r="F617" s="3"/>
      <c r="G617" s="3"/>
      <c r="H617" s="3"/>
    </row>
    <row r="618">
      <c r="B618" s="3"/>
      <c r="C618" s="3"/>
      <c r="D618" s="3"/>
      <c r="E618" s="3"/>
      <c r="F618" s="3"/>
      <c r="G618" s="3"/>
      <c r="H618" s="3"/>
    </row>
    <row r="619">
      <c r="B619" s="3"/>
      <c r="C619" s="3"/>
      <c r="D619" s="3"/>
      <c r="E619" s="3"/>
      <c r="F619" s="3"/>
      <c r="G619" s="3"/>
      <c r="H619" s="3"/>
    </row>
    <row r="620">
      <c r="B620" s="3"/>
      <c r="C620" s="3"/>
      <c r="D620" s="3"/>
      <c r="E620" s="3"/>
      <c r="F620" s="3"/>
      <c r="G620" s="3"/>
      <c r="H620" s="3"/>
    </row>
    <row r="621">
      <c r="B621" s="3"/>
      <c r="C621" s="3"/>
      <c r="D621" s="3"/>
      <c r="E621" s="3"/>
      <c r="F621" s="3"/>
      <c r="G621" s="3"/>
      <c r="H621" s="3"/>
    </row>
    <row r="622">
      <c r="B622" s="3"/>
      <c r="C622" s="3"/>
      <c r="D622" s="3"/>
      <c r="E622" s="3"/>
      <c r="F622" s="3"/>
      <c r="G622" s="3"/>
      <c r="H622" s="3"/>
    </row>
    <row r="623">
      <c r="B623" s="3"/>
      <c r="C623" s="3"/>
      <c r="D623" s="3"/>
      <c r="E623" s="3"/>
      <c r="F623" s="3"/>
      <c r="G623" s="3"/>
      <c r="H623" s="3"/>
    </row>
    <row r="624">
      <c r="B624" s="3"/>
      <c r="C624" s="3"/>
      <c r="D624" s="3"/>
      <c r="E624" s="3"/>
      <c r="F624" s="3"/>
      <c r="G624" s="3"/>
      <c r="H624" s="3"/>
    </row>
    <row r="625">
      <c r="B625" s="3"/>
      <c r="C625" s="3"/>
      <c r="D625" s="3"/>
      <c r="E625" s="3"/>
      <c r="F625" s="3"/>
      <c r="G625" s="3"/>
      <c r="H625" s="3"/>
    </row>
    <row r="626">
      <c r="B626" s="3"/>
      <c r="C626" s="3"/>
      <c r="D626" s="3"/>
      <c r="E626" s="3"/>
      <c r="F626" s="3"/>
      <c r="G626" s="3"/>
      <c r="H626" s="3"/>
    </row>
    <row r="627">
      <c r="B627" s="3"/>
      <c r="C627" s="3"/>
      <c r="D627" s="3"/>
      <c r="E627" s="3"/>
      <c r="F627" s="3"/>
      <c r="G627" s="3"/>
      <c r="H627" s="3"/>
    </row>
    <row r="628">
      <c r="B628" s="3"/>
      <c r="C628" s="3"/>
      <c r="D628" s="3"/>
      <c r="E628" s="3"/>
      <c r="F628" s="3"/>
      <c r="G628" s="3"/>
      <c r="H628" s="3"/>
    </row>
    <row r="629">
      <c r="B629" s="3"/>
      <c r="C629" s="3"/>
      <c r="D629" s="3"/>
      <c r="E629" s="3"/>
      <c r="F629" s="3"/>
      <c r="G629" s="3"/>
      <c r="H629" s="3"/>
    </row>
    <row r="630">
      <c r="B630" s="3"/>
      <c r="C630" s="3"/>
      <c r="D630" s="3"/>
      <c r="E630" s="3"/>
      <c r="F630" s="3"/>
      <c r="G630" s="3"/>
      <c r="H630" s="3"/>
    </row>
    <row r="631">
      <c r="B631" s="3"/>
      <c r="C631" s="3"/>
      <c r="D631" s="3"/>
      <c r="E631" s="3"/>
      <c r="F631" s="3"/>
      <c r="G631" s="3"/>
      <c r="H631" s="3"/>
    </row>
    <row r="632">
      <c r="B632" s="3"/>
      <c r="C632" s="3"/>
      <c r="D632" s="3"/>
      <c r="E632" s="3"/>
      <c r="F632" s="3"/>
      <c r="G632" s="3"/>
      <c r="H632" s="3"/>
    </row>
    <row r="633">
      <c r="B633" s="3"/>
      <c r="C633" s="3"/>
      <c r="D633" s="3"/>
      <c r="E633" s="3"/>
      <c r="F633" s="3"/>
      <c r="G633" s="3"/>
      <c r="H633" s="3"/>
    </row>
    <row r="634">
      <c r="B634" s="3"/>
      <c r="C634" s="3"/>
      <c r="D634" s="3"/>
      <c r="E634" s="3"/>
      <c r="F634" s="3"/>
      <c r="G634" s="3"/>
      <c r="H634" s="3"/>
    </row>
    <row r="635">
      <c r="B635" s="3"/>
      <c r="C635" s="3"/>
      <c r="D635" s="3"/>
      <c r="E635" s="3"/>
      <c r="F635" s="3"/>
      <c r="G635" s="3"/>
      <c r="H635" s="3"/>
    </row>
    <row r="636">
      <c r="B636" s="3"/>
      <c r="C636" s="3"/>
      <c r="D636" s="3"/>
      <c r="E636" s="3"/>
      <c r="F636" s="3"/>
      <c r="G636" s="3"/>
      <c r="H636" s="3"/>
    </row>
    <row r="637">
      <c r="B637" s="3"/>
      <c r="C637" s="3"/>
      <c r="D637" s="3"/>
      <c r="E637" s="3"/>
      <c r="F637" s="3"/>
      <c r="G637" s="3"/>
      <c r="H637" s="3"/>
    </row>
    <row r="638">
      <c r="B638" s="3"/>
      <c r="C638" s="3"/>
      <c r="D638" s="3"/>
      <c r="E638" s="3"/>
      <c r="F638" s="3"/>
      <c r="G638" s="3"/>
      <c r="H638" s="3"/>
    </row>
    <row r="639">
      <c r="B639" s="3"/>
      <c r="C639" s="3"/>
      <c r="D639" s="3"/>
      <c r="E639" s="3"/>
      <c r="F639" s="3"/>
      <c r="G639" s="3"/>
      <c r="H639" s="3"/>
    </row>
    <row r="640">
      <c r="B640" s="3"/>
      <c r="C640" s="3"/>
      <c r="D640" s="3"/>
      <c r="E640" s="3"/>
      <c r="F640" s="3"/>
      <c r="G640" s="3"/>
      <c r="H640" s="3"/>
    </row>
    <row r="641">
      <c r="B641" s="3"/>
      <c r="C641" s="3"/>
      <c r="D641" s="3"/>
      <c r="E641" s="3"/>
      <c r="F641" s="3"/>
      <c r="G641" s="3"/>
      <c r="H641" s="3"/>
    </row>
    <row r="642">
      <c r="B642" s="3"/>
      <c r="C642" s="3"/>
      <c r="D642" s="3"/>
      <c r="E642" s="3"/>
      <c r="F642" s="3"/>
      <c r="G642" s="3"/>
      <c r="H642" s="3"/>
    </row>
    <row r="643">
      <c r="B643" s="3"/>
      <c r="C643" s="3"/>
      <c r="D643" s="3"/>
      <c r="E643" s="3"/>
      <c r="F643" s="3"/>
      <c r="G643" s="3"/>
      <c r="H643" s="3"/>
    </row>
    <row r="644">
      <c r="B644" s="3"/>
      <c r="C644" s="3"/>
      <c r="D644" s="3"/>
      <c r="E644" s="3"/>
      <c r="F644" s="3"/>
      <c r="G644" s="3"/>
      <c r="H644" s="3"/>
    </row>
    <row r="645">
      <c r="B645" s="3"/>
      <c r="C645" s="3"/>
      <c r="D645" s="3"/>
      <c r="E645" s="3"/>
      <c r="F645" s="3"/>
      <c r="G645" s="3"/>
      <c r="H645" s="3"/>
    </row>
    <row r="646">
      <c r="B646" s="3"/>
      <c r="C646" s="3"/>
      <c r="D646" s="3"/>
      <c r="E646" s="3"/>
      <c r="F646" s="3"/>
      <c r="G646" s="3"/>
      <c r="H646" s="3"/>
    </row>
    <row r="647">
      <c r="B647" s="3"/>
      <c r="C647" s="3"/>
      <c r="D647" s="3"/>
      <c r="E647" s="3"/>
      <c r="F647" s="3"/>
      <c r="G647" s="3"/>
      <c r="H647" s="3"/>
    </row>
    <row r="648">
      <c r="B648" s="3"/>
      <c r="C648" s="3"/>
      <c r="D648" s="3"/>
      <c r="E648" s="3"/>
      <c r="F648" s="3"/>
      <c r="G648" s="3"/>
      <c r="H648" s="3"/>
    </row>
    <row r="649">
      <c r="B649" s="3"/>
      <c r="C649" s="3"/>
      <c r="D649" s="3"/>
      <c r="E649" s="3"/>
      <c r="F649" s="3"/>
      <c r="G649" s="3"/>
      <c r="H649" s="3"/>
    </row>
    <row r="650">
      <c r="B650" s="3"/>
      <c r="C650" s="3"/>
      <c r="D650" s="3"/>
      <c r="E650" s="3"/>
      <c r="F650" s="3"/>
      <c r="G650" s="3"/>
      <c r="H650" s="3"/>
    </row>
    <row r="651">
      <c r="B651" s="3"/>
      <c r="C651" s="3"/>
      <c r="D651" s="3"/>
      <c r="E651" s="3"/>
      <c r="F651" s="3"/>
      <c r="G651" s="3"/>
      <c r="H651" s="3"/>
    </row>
    <row r="652">
      <c r="B652" s="3"/>
      <c r="C652" s="3"/>
      <c r="D652" s="3"/>
      <c r="E652" s="3"/>
      <c r="F652" s="3"/>
      <c r="G652" s="3"/>
      <c r="H652" s="3"/>
    </row>
    <row r="653">
      <c r="B653" s="3"/>
      <c r="C653" s="3"/>
      <c r="D653" s="3"/>
      <c r="E653" s="3"/>
      <c r="F653" s="3"/>
      <c r="G653" s="3"/>
      <c r="H653" s="3"/>
    </row>
    <row r="654">
      <c r="B654" s="3"/>
      <c r="C654" s="3"/>
      <c r="D654" s="3"/>
      <c r="E654" s="3"/>
      <c r="F654" s="3"/>
      <c r="G654" s="3"/>
      <c r="H654" s="3"/>
    </row>
    <row r="655">
      <c r="B655" s="3"/>
      <c r="C655" s="3"/>
      <c r="D655" s="3"/>
      <c r="E655" s="3"/>
      <c r="F655" s="3"/>
      <c r="G655" s="3"/>
      <c r="H655" s="3"/>
    </row>
    <row r="656">
      <c r="B656" s="3"/>
      <c r="C656" s="3"/>
      <c r="D656" s="3"/>
      <c r="E656" s="3"/>
      <c r="F656" s="3"/>
      <c r="G656" s="3"/>
      <c r="H656" s="3"/>
    </row>
    <row r="657">
      <c r="B657" s="3"/>
      <c r="C657" s="3"/>
      <c r="D657" s="3"/>
      <c r="E657" s="3"/>
      <c r="F657" s="3"/>
      <c r="G657" s="3"/>
      <c r="H657" s="3"/>
    </row>
    <row r="658">
      <c r="B658" s="3"/>
      <c r="C658" s="3"/>
      <c r="D658" s="3"/>
      <c r="E658" s="3"/>
      <c r="F658" s="3"/>
      <c r="G658" s="3"/>
      <c r="H658" s="3"/>
    </row>
    <row r="659">
      <c r="B659" s="3"/>
      <c r="C659" s="3"/>
      <c r="D659" s="3"/>
      <c r="E659" s="3"/>
      <c r="F659" s="3"/>
      <c r="G659" s="3"/>
      <c r="H659" s="3"/>
    </row>
    <row r="660">
      <c r="B660" s="3"/>
      <c r="C660" s="3"/>
      <c r="D660" s="3"/>
      <c r="E660" s="3"/>
      <c r="F660" s="3"/>
      <c r="G660" s="3"/>
      <c r="H660" s="3"/>
    </row>
    <row r="661">
      <c r="B661" s="3"/>
      <c r="C661" s="3"/>
      <c r="D661" s="3"/>
      <c r="E661" s="3"/>
      <c r="F661" s="3"/>
      <c r="G661" s="3"/>
      <c r="H661" s="3"/>
    </row>
    <row r="662">
      <c r="B662" s="3"/>
      <c r="C662" s="3"/>
      <c r="D662" s="3"/>
      <c r="E662" s="3"/>
      <c r="F662" s="3"/>
      <c r="G662" s="3"/>
      <c r="H662" s="3"/>
    </row>
    <row r="663">
      <c r="B663" s="3"/>
      <c r="C663" s="3"/>
      <c r="D663" s="3"/>
      <c r="E663" s="3"/>
      <c r="F663" s="3"/>
      <c r="G663" s="3"/>
      <c r="H663" s="3"/>
    </row>
    <row r="664">
      <c r="B664" s="3"/>
      <c r="C664" s="3"/>
      <c r="D664" s="3"/>
      <c r="E664" s="3"/>
      <c r="F664" s="3"/>
      <c r="G664" s="3"/>
      <c r="H664" s="3"/>
    </row>
    <row r="665">
      <c r="B665" s="3"/>
      <c r="C665" s="3"/>
      <c r="D665" s="3"/>
      <c r="E665" s="3"/>
      <c r="F665" s="3"/>
      <c r="G665" s="3"/>
      <c r="H665" s="3"/>
    </row>
    <row r="666">
      <c r="B666" s="3"/>
      <c r="C666" s="3"/>
      <c r="D666" s="3"/>
      <c r="E666" s="3"/>
      <c r="F666" s="3"/>
      <c r="G666" s="3"/>
      <c r="H666" s="3"/>
    </row>
    <row r="667">
      <c r="B667" s="3"/>
      <c r="C667" s="3"/>
      <c r="D667" s="3"/>
      <c r="E667" s="3"/>
      <c r="F667" s="3"/>
      <c r="G667" s="3"/>
      <c r="H667" s="3"/>
    </row>
    <row r="668">
      <c r="B668" s="3"/>
      <c r="C668" s="3"/>
      <c r="D668" s="3"/>
      <c r="E668" s="3"/>
      <c r="F668" s="3"/>
      <c r="G668" s="3"/>
      <c r="H668" s="3"/>
    </row>
    <row r="669">
      <c r="B669" s="3"/>
      <c r="C669" s="3"/>
      <c r="D669" s="3"/>
      <c r="E669" s="3"/>
      <c r="F669" s="3"/>
      <c r="G669" s="3"/>
      <c r="H669" s="3"/>
    </row>
    <row r="670">
      <c r="B670" s="3"/>
      <c r="C670" s="3"/>
      <c r="D670" s="3"/>
      <c r="E670" s="3"/>
      <c r="F670" s="3"/>
      <c r="G670" s="3"/>
      <c r="H670" s="3"/>
    </row>
    <row r="671">
      <c r="B671" s="3"/>
      <c r="C671" s="3"/>
      <c r="D671" s="3"/>
      <c r="E671" s="3"/>
      <c r="F671" s="3"/>
      <c r="G671" s="3"/>
      <c r="H671" s="3"/>
    </row>
    <row r="672">
      <c r="B672" s="3"/>
      <c r="C672" s="3"/>
      <c r="D672" s="3"/>
      <c r="E672" s="3"/>
      <c r="F672" s="3"/>
      <c r="G672" s="3"/>
      <c r="H672" s="3"/>
    </row>
    <row r="673">
      <c r="B673" s="3"/>
      <c r="C673" s="3"/>
      <c r="D673" s="3"/>
      <c r="E673" s="3"/>
      <c r="F673" s="3"/>
      <c r="G673" s="3"/>
      <c r="H673" s="3"/>
    </row>
    <row r="674">
      <c r="B674" s="3"/>
      <c r="C674" s="3"/>
      <c r="D674" s="3"/>
      <c r="E674" s="3"/>
      <c r="F674" s="3"/>
      <c r="G674" s="3"/>
      <c r="H674" s="3"/>
    </row>
    <row r="675">
      <c r="B675" s="3"/>
      <c r="C675" s="3"/>
      <c r="D675" s="3"/>
      <c r="E675" s="3"/>
      <c r="F675" s="3"/>
      <c r="G675" s="3"/>
      <c r="H675" s="3"/>
    </row>
    <row r="676">
      <c r="B676" s="3"/>
      <c r="C676" s="3"/>
      <c r="D676" s="3"/>
      <c r="E676" s="3"/>
      <c r="F676" s="3"/>
      <c r="G676" s="3"/>
      <c r="H676" s="3"/>
    </row>
    <row r="677">
      <c r="B677" s="3"/>
      <c r="C677" s="3"/>
      <c r="D677" s="3"/>
      <c r="E677" s="3"/>
      <c r="F677" s="3"/>
      <c r="G677" s="3"/>
      <c r="H677" s="3"/>
    </row>
    <row r="678">
      <c r="B678" s="3"/>
      <c r="C678" s="3"/>
      <c r="D678" s="3"/>
      <c r="E678" s="3"/>
      <c r="F678" s="3"/>
      <c r="G678" s="3"/>
      <c r="H678" s="3"/>
    </row>
    <row r="679">
      <c r="B679" s="3"/>
      <c r="C679" s="3"/>
      <c r="D679" s="3"/>
      <c r="E679" s="3"/>
      <c r="F679" s="3"/>
      <c r="G679" s="3"/>
      <c r="H679" s="3"/>
    </row>
    <row r="680">
      <c r="B680" s="3"/>
      <c r="C680" s="3"/>
      <c r="D680" s="3"/>
      <c r="E680" s="3"/>
      <c r="F680" s="3"/>
      <c r="G680" s="3"/>
      <c r="H680" s="3"/>
    </row>
    <row r="681">
      <c r="B681" s="3"/>
      <c r="C681" s="3"/>
      <c r="D681" s="3"/>
      <c r="E681" s="3"/>
      <c r="F681" s="3"/>
      <c r="G681" s="3"/>
      <c r="H681" s="3"/>
    </row>
    <row r="682">
      <c r="B682" s="3"/>
      <c r="C682" s="3"/>
      <c r="D682" s="3"/>
      <c r="E682" s="3"/>
      <c r="F682" s="3"/>
      <c r="G682" s="3"/>
      <c r="H682" s="3"/>
    </row>
    <row r="683">
      <c r="B683" s="3"/>
      <c r="C683" s="3"/>
      <c r="D683" s="3"/>
      <c r="E683" s="3"/>
      <c r="F683" s="3"/>
      <c r="G683" s="3"/>
      <c r="H683" s="3"/>
    </row>
    <row r="684">
      <c r="B684" s="3"/>
      <c r="C684" s="3"/>
      <c r="D684" s="3"/>
      <c r="E684" s="3"/>
      <c r="F684" s="3"/>
      <c r="G684" s="3"/>
      <c r="H684" s="3"/>
    </row>
    <row r="685">
      <c r="B685" s="3"/>
      <c r="C685" s="3"/>
      <c r="D685" s="3"/>
      <c r="E685" s="3"/>
      <c r="F685" s="3"/>
      <c r="G685" s="3"/>
      <c r="H685" s="3"/>
    </row>
    <row r="686">
      <c r="B686" s="3"/>
      <c r="C686" s="3"/>
      <c r="D686" s="3"/>
      <c r="E686" s="3"/>
      <c r="F686" s="3"/>
      <c r="G686" s="3"/>
      <c r="H686" s="3"/>
    </row>
    <row r="687">
      <c r="B687" s="3"/>
      <c r="C687" s="3"/>
      <c r="D687" s="3"/>
      <c r="E687" s="3"/>
      <c r="F687" s="3"/>
      <c r="G687" s="3"/>
      <c r="H687" s="3"/>
    </row>
    <row r="688">
      <c r="B688" s="3"/>
      <c r="C688" s="3"/>
      <c r="D688" s="3"/>
      <c r="E688" s="3"/>
      <c r="F688" s="3"/>
      <c r="G688" s="3"/>
      <c r="H688" s="3"/>
    </row>
    <row r="689">
      <c r="B689" s="3"/>
      <c r="C689" s="3"/>
      <c r="D689" s="3"/>
      <c r="E689" s="3"/>
      <c r="F689" s="3"/>
      <c r="G689" s="3"/>
      <c r="H689" s="3"/>
    </row>
    <row r="690">
      <c r="B690" s="3"/>
      <c r="C690" s="3"/>
      <c r="D690" s="3"/>
      <c r="E690" s="3"/>
      <c r="F690" s="3"/>
      <c r="G690" s="3"/>
      <c r="H690" s="3"/>
    </row>
    <row r="691">
      <c r="B691" s="3"/>
      <c r="C691" s="3"/>
      <c r="D691" s="3"/>
      <c r="E691" s="3"/>
      <c r="F691" s="3"/>
      <c r="G691" s="3"/>
      <c r="H691" s="3"/>
    </row>
    <row r="692">
      <c r="B692" s="3"/>
      <c r="C692" s="3"/>
      <c r="D692" s="3"/>
      <c r="E692" s="3"/>
      <c r="F692" s="3"/>
      <c r="G692" s="3"/>
      <c r="H692" s="3"/>
    </row>
    <row r="693">
      <c r="B693" s="3"/>
      <c r="C693" s="3"/>
      <c r="D693" s="3"/>
      <c r="E693" s="3"/>
      <c r="F693" s="3"/>
      <c r="G693" s="3"/>
      <c r="H693" s="3"/>
    </row>
    <row r="694">
      <c r="B694" s="3"/>
      <c r="C694" s="3"/>
      <c r="D694" s="3"/>
      <c r="E694" s="3"/>
      <c r="F694" s="3"/>
      <c r="G694" s="3"/>
      <c r="H694" s="3"/>
    </row>
    <row r="695">
      <c r="B695" s="3"/>
      <c r="C695" s="3"/>
      <c r="D695" s="3"/>
      <c r="E695" s="3"/>
      <c r="F695" s="3"/>
      <c r="G695" s="3"/>
      <c r="H695" s="3"/>
    </row>
    <row r="696">
      <c r="B696" s="3"/>
      <c r="C696" s="3"/>
      <c r="D696" s="3"/>
      <c r="E696" s="3"/>
      <c r="F696" s="3"/>
      <c r="G696" s="3"/>
      <c r="H696" s="3"/>
    </row>
    <row r="697">
      <c r="B697" s="3"/>
      <c r="C697" s="3"/>
      <c r="D697" s="3"/>
      <c r="E697" s="3"/>
      <c r="F697" s="3"/>
      <c r="G697" s="3"/>
      <c r="H697" s="3"/>
    </row>
    <row r="698">
      <c r="B698" s="3"/>
      <c r="C698" s="3"/>
      <c r="D698" s="3"/>
      <c r="E698" s="3"/>
      <c r="F698" s="3"/>
      <c r="G698" s="3"/>
      <c r="H698" s="3"/>
    </row>
    <row r="699">
      <c r="B699" s="3"/>
      <c r="C699" s="3"/>
      <c r="D699" s="3"/>
      <c r="E699" s="3"/>
      <c r="F699" s="3"/>
      <c r="G699" s="3"/>
      <c r="H699" s="3"/>
    </row>
    <row r="700">
      <c r="B700" s="3"/>
      <c r="C700" s="3"/>
      <c r="D700" s="3"/>
      <c r="E700" s="3"/>
      <c r="F700" s="3"/>
      <c r="G700" s="3"/>
      <c r="H700" s="3"/>
    </row>
    <row r="701">
      <c r="B701" s="3"/>
      <c r="C701" s="3"/>
      <c r="D701" s="3"/>
      <c r="E701" s="3"/>
      <c r="F701" s="3"/>
      <c r="G701" s="3"/>
      <c r="H701" s="3"/>
    </row>
    <row r="702">
      <c r="B702" s="3"/>
      <c r="C702" s="3"/>
      <c r="D702" s="3"/>
      <c r="E702" s="3"/>
      <c r="F702" s="3"/>
      <c r="G702" s="3"/>
      <c r="H702" s="3"/>
    </row>
    <row r="703">
      <c r="B703" s="3"/>
      <c r="C703" s="3"/>
      <c r="D703" s="3"/>
      <c r="E703" s="3"/>
      <c r="F703" s="3"/>
      <c r="G703" s="3"/>
      <c r="H703" s="3"/>
    </row>
    <row r="704">
      <c r="B704" s="3"/>
      <c r="C704" s="3"/>
      <c r="D704" s="3"/>
      <c r="E704" s="3"/>
      <c r="F704" s="3"/>
      <c r="G704" s="3"/>
      <c r="H704" s="3"/>
    </row>
    <row r="705">
      <c r="B705" s="3"/>
      <c r="C705" s="3"/>
      <c r="D705" s="3"/>
      <c r="E705" s="3"/>
      <c r="F705" s="3"/>
      <c r="G705" s="3"/>
      <c r="H705" s="3"/>
    </row>
    <row r="706">
      <c r="B706" s="3"/>
      <c r="C706" s="3"/>
      <c r="D706" s="3"/>
      <c r="E706" s="3"/>
      <c r="F706" s="3"/>
      <c r="G706" s="3"/>
      <c r="H706" s="3"/>
    </row>
    <row r="707">
      <c r="B707" s="3"/>
      <c r="C707" s="3"/>
      <c r="D707" s="3"/>
      <c r="E707" s="3"/>
      <c r="F707" s="3"/>
      <c r="G707" s="3"/>
      <c r="H707" s="3"/>
    </row>
    <row r="708">
      <c r="B708" s="3"/>
      <c r="C708" s="3"/>
      <c r="D708" s="3"/>
      <c r="E708" s="3"/>
      <c r="F708" s="3"/>
      <c r="G708" s="3"/>
      <c r="H708" s="3"/>
    </row>
    <row r="709">
      <c r="B709" s="3"/>
      <c r="C709" s="3"/>
      <c r="D709" s="3"/>
      <c r="E709" s="3"/>
      <c r="F709" s="3"/>
      <c r="G709" s="3"/>
      <c r="H709" s="3"/>
    </row>
    <row r="710">
      <c r="B710" s="3"/>
      <c r="C710" s="3"/>
      <c r="D710" s="3"/>
      <c r="E710" s="3"/>
      <c r="F710" s="3"/>
      <c r="G710" s="3"/>
      <c r="H710" s="3"/>
    </row>
    <row r="711">
      <c r="B711" s="3"/>
      <c r="C711" s="3"/>
      <c r="D711" s="3"/>
      <c r="E711" s="3"/>
      <c r="F711" s="3"/>
      <c r="G711" s="3"/>
      <c r="H711" s="3"/>
    </row>
    <row r="712">
      <c r="B712" s="3"/>
      <c r="C712" s="3"/>
      <c r="D712" s="3"/>
      <c r="E712" s="3"/>
      <c r="F712" s="3"/>
      <c r="G712" s="3"/>
      <c r="H712" s="3"/>
    </row>
    <row r="713">
      <c r="B713" s="3"/>
      <c r="C713" s="3"/>
      <c r="D713" s="3"/>
      <c r="E713" s="3"/>
      <c r="F713" s="3"/>
      <c r="G713" s="3"/>
      <c r="H713" s="3"/>
    </row>
    <row r="714">
      <c r="B714" s="3"/>
      <c r="C714" s="3"/>
      <c r="D714" s="3"/>
      <c r="E714" s="3"/>
      <c r="F714" s="3"/>
      <c r="G714" s="3"/>
      <c r="H714" s="3"/>
    </row>
    <row r="715">
      <c r="B715" s="3"/>
      <c r="C715" s="3"/>
      <c r="D715" s="3"/>
      <c r="E715" s="3"/>
      <c r="F715" s="3"/>
      <c r="G715" s="3"/>
      <c r="H715" s="3"/>
    </row>
    <row r="716">
      <c r="B716" s="3"/>
      <c r="C716" s="3"/>
      <c r="D716" s="3"/>
      <c r="E716" s="3"/>
      <c r="F716" s="3"/>
      <c r="G716" s="3"/>
      <c r="H716" s="3"/>
    </row>
    <row r="717">
      <c r="B717" s="3"/>
      <c r="C717" s="3"/>
      <c r="D717" s="3"/>
      <c r="E717" s="3"/>
      <c r="F717" s="3"/>
      <c r="G717" s="3"/>
      <c r="H717" s="3"/>
    </row>
    <row r="718">
      <c r="B718" s="3"/>
      <c r="C718" s="3"/>
      <c r="D718" s="3"/>
      <c r="E718" s="3"/>
      <c r="F718" s="3"/>
      <c r="G718" s="3"/>
      <c r="H718" s="3"/>
    </row>
    <row r="719">
      <c r="B719" s="3"/>
      <c r="C719" s="3"/>
      <c r="D719" s="3"/>
      <c r="E719" s="3"/>
      <c r="F719" s="3"/>
      <c r="G719" s="3"/>
      <c r="H719" s="3"/>
    </row>
    <row r="720">
      <c r="B720" s="3"/>
      <c r="C720" s="3"/>
      <c r="D720" s="3"/>
      <c r="E720" s="3"/>
      <c r="F720" s="3"/>
      <c r="G720" s="3"/>
      <c r="H720" s="3"/>
    </row>
    <row r="721">
      <c r="B721" s="3"/>
      <c r="C721" s="3"/>
      <c r="D721" s="3"/>
      <c r="E721" s="3"/>
      <c r="F721" s="3"/>
      <c r="G721" s="3"/>
      <c r="H721" s="3"/>
    </row>
    <row r="722">
      <c r="B722" s="3"/>
      <c r="C722" s="3"/>
      <c r="D722" s="3"/>
      <c r="E722" s="3"/>
      <c r="F722" s="3"/>
      <c r="G722" s="3"/>
      <c r="H722" s="3"/>
    </row>
    <row r="723">
      <c r="B723" s="3"/>
      <c r="C723" s="3"/>
      <c r="D723" s="3"/>
      <c r="E723" s="3"/>
      <c r="F723" s="3"/>
      <c r="G723" s="3"/>
      <c r="H723" s="3"/>
    </row>
    <row r="724">
      <c r="B724" s="3"/>
      <c r="C724" s="3"/>
      <c r="D724" s="3"/>
      <c r="E724" s="3"/>
      <c r="F724" s="3"/>
      <c r="G724" s="3"/>
      <c r="H724" s="3"/>
    </row>
    <row r="725">
      <c r="B725" s="3"/>
      <c r="C725" s="3"/>
      <c r="D725" s="3"/>
      <c r="E725" s="3"/>
      <c r="F725" s="3"/>
      <c r="G725" s="3"/>
      <c r="H725" s="3"/>
    </row>
    <row r="726">
      <c r="B726" s="3"/>
      <c r="C726" s="3"/>
      <c r="D726" s="3"/>
      <c r="E726" s="3"/>
      <c r="F726" s="3"/>
      <c r="G726" s="3"/>
      <c r="H726" s="3"/>
    </row>
    <row r="727">
      <c r="B727" s="3"/>
      <c r="C727" s="3"/>
      <c r="D727" s="3"/>
      <c r="E727" s="3"/>
      <c r="F727" s="3"/>
      <c r="G727" s="3"/>
      <c r="H727" s="3"/>
    </row>
    <row r="728">
      <c r="B728" s="3"/>
      <c r="C728" s="3"/>
      <c r="D728" s="3"/>
      <c r="E728" s="3"/>
      <c r="F728" s="3"/>
      <c r="G728" s="3"/>
      <c r="H728" s="3"/>
    </row>
    <row r="729">
      <c r="B729" s="3"/>
      <c r="C729" s="3"/>
      <c r="D729" s="3"/>
      <c r="E729" s="3"/>
      <c r="F729" s="3"/>
      <c r="G729" s="3"/>
      <c r="H729" s="3"/>
    </row>
    <row r="730">
      <c r="B730" s="3"/>
      <c r="C730" s="3"/>
      <c r="D730" s="3"/>
      <c r="E730" s="3"/>
      <c r="F730" s="3"/>
      <c r="G730" s="3"/>
      <c r="H730" s="3"/>
    </row>
    <row r="731">
      <c r="B731" s="3"/>
      <c r="C731" s="3"/>
      <c r="D731" s="3"/>
      <c r="E731" s="3"/>
      <c r="F731" s="3"/>
      <c r="G731" s="3"/>
      <c r="H731" s="3"/>
    </row>
    <row r="732">
      <c r="B732" s="3"/>
      <c r="C732" s="3"/>
      <c r="D732" s="3"/>
      <c r="E732" s="3"/>
      <c r="F732" s="3"/>
      <c r="G732" s="3"/>
      <c r="H732" s="3"/>
    </row>
    <row r="733">
      <c r="B733" s="3"/>
      <c r="C733" s="3"/>
      <c r="D733" s="3"/>
      <c r="E733" s="3"/>
      <c r="F733" s="3"/>
      <c r="G733" s="3"/>
      <c r="H733" s="3"/>
    </row>
    <row r="734">
      <c r="B734" s="3"/>
      <c r="C734" s="3"/>
      <c r="D734" s="3"/>
      <c r="E734" s="3"/>
      <c r="F734" s="3"/>
      <c r="G734" s="3"/>
      <c r="H734" s="3"/>
    </row>
    <row r="735">
      <c r="B735" s="3"/>
      <c r="C735" s="3"/>
      <c r="D735" s="3"/>
      <c r="E735" s="3"/>
      <c r="F735" s="3"/>
      <c r="G735" s="3"/>
      <c r="H735" s="3"/>
    </row>
    <row r="736">
      <c r="B736" s="3"/>
      <c r="C736" s="3"/>
      <c r="D736" s="3"/>
      <c r="E736" s="3"/>
      <c r="F736" s="3"/>
      <c r="G736" s="3"/>
      <c r="H736" s="3"/>
    </row>
    <row r="737">
      <c r="B737" s="3"/>
      <c r="C737" s="3"/>
      <c r="D737" s="3"/>
      <c r="E737" s="3"/>
      <c r="F737" s="3"/>
      <c r="G737" s="3"/>
      <c r="H737" s="3"/>
    </row>
    <row r="738">
      <c r="B738" s="3"/>
      <c r="C738" s="3"/>
      <c r="D738" s="3"/>
      <c r="E738" s="3"/>
      <c r="F738" s="3"/>
      <c r="G738" s="3"/>
      <c r="H738" s="3"/>
    </row>
    <row r="739">
      <c r="B739" s="3"/>
      <c r="C739" s="3"/>
      <c r="D739" s="3"/>
      <c r="E739" s="3"/>
      <c r="F739" s="3"/>
      <c r="G739" s="3"/>
      <c r="H739" s="3"/>
    </row>
    <row r="740">
      <c r="B740" s="3"/>
      <c r="C740" s="3"/>
      <c r="D740" s="3"/>
      <c r="E740" s="3"/>
      <c r="F740" s="3"/>
      <c r="G740" s="3"/>
      <c r="H740" s="3"/>
    </row>
    <row r="741">
      <c r="B741" s="3"/>
      <c r="C741" s="3"/>
      <c r="D741" s="3"/>
      <c r="E741" s="3"/>
      <c r="F741" s="3"/>
      <c r="G741" s="3"/>
      <c r="H741" s="3"/>
    </row>
    <row r="742">
      <c r="B742" s="3"/>
      <c r="C742" s="3"/>
      <c r="D742" s="3"/>
      <c r="E742" s="3"/>
      <c r="F742" s="3"/>
      <c r="G742" s="3"/>
      <c r="H742" s="3"/>
    </row>
    <row r="743">
      <c r="B743" s="3"/>
      <c r="C743" s="3"/>
      <c r="D743" s="3"/>
      <c r="E743" s="3"/>
      <c r="F743" s="3"/>
      <c r="G743" s="3"/>
      <c r="H743" s="3"/>
    </row>
    <row r="744">
      <c r="B744" s="3"/>
      <c r="C744" s="3"/>
      <c r="D744" s="3"/>
      <c r="E744" s="3"/>
      <c r="F744" s="3"/>
      <c r="G744" s="3"/>
      <c r="H744" s="3"/>
    </row>
    <row r="745">
      <c r="B745" s="3"/>
      <c r="C745" s="3"/>
      <c r="D745" s="3"/>
      <c r="E745" s="3"/>
      <c r="F745" s="3"/>
      <c r="G745" s="3"/>
      <c r="H745" s="3"/>
    </row>
    <row r="746">
      <c r="B746" s="3"/>
      <c r="C746" s="3"/>
      <c r="D746" s="3"/>
      <c r="E746" s="3"/>
      <c r="F746" s="3"/>
      <c r="G746" s="3"/>
      <c r="H746" s="3"/>
    </row>
    <row r="747">
      <c r="B747" s="3"/>
      <c r="C747" s="3"/>
      <c r="D747" s="3"/>
      <c r="E747" s="3"/>
      <c r="F747" s="3"/>
      <c r="G747" s="3"/>
      <c r="H747" s="3"/>
    </row>
    <row r="748">
      <c r="B748" s="3"/>
      <c r="C748" s="3"/>
      <c r="D748" s="3"/>
      <c r="E748" s="3"/>
      <c r="F748" s="3"/>
      <c r="G748" s="3"/>
      <c r="H748" s="3"/>
    </row>
    <row r="749">
      <c r="B749" s="3"/>
      <c r="C749" s="3"/>
      <c r="D749" s="3"/>
      <c r="E749" s="3"/>
      <c r="F749" s="3"/>
      <c r="G749" s="3"/>
      <c r="H749" s="3"/>
    </row>
    <row r="750">
      <c r="B750" s="3"/>
      <c r="C750" s="3"/>
      <c r="D750" s="3"/>
      <c r="E750" s="3"/>
      <c r="F750" s="3"/>
      <c r="G750" s="3"/>
      <c r="H750" s="3"/>
    </row>
    <row r="751">
      <c r="B751" s="3"/>
      <c r="C751" s="3"/>
      <c r="D751" s="3"/>
      <c r="E751" s="3"/>
      <c r="F751" s="3"/>
      <c r="G751" s="3"/>
      <c r="H751" s="3"/>
    </row>
    <row r="752">
      <c r="B752" s="3"/>
      <c r="C752" s="3"/>
      <c r="D752" s="3"/>
      <c r="E752" s="3"/>
      <c r="F752" s="3"/>
      <c r="G752" s="3"/>
      <c r="H752" s="3"/>
    </row>
    <row r="753">
      <c r="B753" s="3"/>
      <c r="C753" s="3"/>
      <c r="D753" s="3"/>
      <c r="E753" s="3"/>
      <c r="F753" s="3"/>
      <c r="G753" s="3"/>
      <c r="H753" s="3"/>
    </row>
    <row r="754">
      <c r="B754" s="3"/>
      <c r="C754" s="3"/>
      <c r="D754" s="3"/>
      <c r="E754" s="3"/>
      <c r="F754" s="3"/>
      <c r="G754" s="3"/>
      <c r="H754" s="3"/>
    </row>
    <row r="755">
      <c r="B755" s="3"/>
      <c r="C755" s="3"/>
      <c r="D755" s="3"/>
      <c r="E755" s="3"/>
      <c r="F755" s="3"/>
      <c r="G755" s="3"/>
      <c r="H755" s="3"/>
    </row>
    <row r="756">
      <c r="B756" s="3"/>
      <c r="C756" s="3"/>
      <c r="D756" s="3"/>
      <c r="E756" s="3"/>
      <c r="F756" s="3"/>
      <c r="G756" s="3"/>
      <c r="H756" s="3"/>
    </row>
    <row r="757">
      <c r="B757" s="3"/>
      <c r="C757" s="3"/>
      <c r="D757" s="3"/>
      <c r="E757" s="3"/>
      <c r="F757" s="3"/>
      <c r="G757" s="3"/>
      <c r="H757" s="3"/>
    </row>
    <row r="758">
      <c r="B758" s="3"/>
      <c r="C758" s="3"/>
      <c r="D758" s="3"/>
      <c r="E758" s="3"/>
      <c r="F758" s="3"/>
      <c r="G758" s="3"/>
      <c r="H758" s="3"/>
    </row>
    <row r="759">
      <c r="B759" s="3"/>
      <c r="C759" s="3"/>
      <c r="D759" s="3"/>
      <c r="E759" s="3"/>
      <c r="F759" s="3"/>
      <c r="G759" s="3"/>
      <c r="H759" s="3"/>
    </row>
    <row r="760">
      <c r="B760" s="3"/>
      <c r="C760" s="3"/>
      <c r="D760" s="3"/>
      <c r="E760" s="3"/>
      <c r="F760" s="3"/>
      <c r="G760" s="3"/>
      <c r="H760" s="3"/>
    </row>
    <row r="761">
      <c r="B761" s="3"/>
      <c r="C761" s="3"/>
      <c r="D761" s="3"/>
      <c r="E761" s="3"/>
      <c r="F761" s="3"/>
      <c r="G761" s="3"/>
      <c r="H761" s="3"/>
    </row>
    <row r="762">
      <c r="B762" s="3"/>
      <c r="C762" s="3"/>
      <c r="D762" s="3"/>
      <c r="E762" s="3"/>
      <c r="F762" s="3"/>
      <c r="G762" s="3"/>
      <c r="H762" s="3"/>
    </row>
    <row r="763">
      <c r="B763" s="3"/>
      <c r="C763" s="3"/>
      <c r="D763" s="3"/>
      <c r="E763" s="3"/>
      <c r="F763" s="3"/>
      <c r="G763" s="3"/>
      <c r="H763" s="3"/>
    </row>
    <row r="764">
      <c r="B764" s="3"/>
      <c r="C764" s="3"/>
      <c r="D764" s="3"/>
      <c r="E764" s="3"/>
      <c r="F764" s="3"/>
      <c r="G764" s="3"/>
      <c r="H764" s="3"/>
    </row>
    <row r="765">
      <c r="B765" s="3"/>
      <c r="C765" s="3"/>
      <c r="D765" s="3"/>
      <c r="E765" s="3"/>
      <c r="F765" s="3"/>
      <c r="G765" s="3"/>
      <c r="H765" s="3"/>
    </row>
    <row r="766">
      <c r="B766" s="3"/>
      <c r="C766" s="3"/>
      <c r="D766" s="3"/>
      <c r="E766" s="3"/>
      <c r="F766" s="3"/>
      <c r="G766" s="3"/>
      <c r="H766" s="3"/>
    </row>
    <row r="767">
      <c r="B767" s="3"/>
      <c r="C767" s="3"/>
      <c r="D767" s="3"/>
      <c r="E767" s="3"/>
      <c r="F767" s="3"/>
      <c r="G767" s="3"/>
      <c r="H767" s="3"/>
    </row>
    <row r="768">
      <c r="B768" s="3"/>
      <c r="C768" s="3"/>
      <c r="D768" s="3"/>
      <c r="E768" s="3"/>
      <c r="F768" s="3"/>
      <c r="G768" s="3"/>
      <c r="H768" s="3"/>
    </row>
    <row r="769">
      <c r="B769" s="3"/>
      <c r="C769" s="3"/>
      <c r="D769" s="3"/>
      <c r="E769" s="3"/>
      <c r="F769" s="3"/>
      <c r="G769" s="3"/>
      <c r="H769" s="3"/>
    </row>
    <row r="770">
      <c r="B770" s="3"/>
      <c r="C770" s="3"/>
      <c r="D770" s="3"/>
      <c r="E770" s="3"/>
      <c r="F770" s="3"/>
      <c r="G770" s="3"/>
      <c r="H770" s="3"/>
    </row>
    <row r="771">
      <c r="B771" s="3"/>
      <c r="C771" s="3"/>
      <c r="D771" s="3"/>
      <c r="E771" s="3"/>
      <c r="F771" s="3"/>
      <c r="G771" s="3"/>
      <c r="H771" s="3"/>
    </row>
    <row r="772">
      <c r="B772" s="3"/>
      <c r="C772" s="3"/>
      <c r="D772" s="3"/>
      <c r="E772" s="3"/>
      <c r="F772" s="3"/>
      <c r="G772" s="3"/>
      <c r="H772" s="3"/>
    </row>
    <row r="773">
      <c r="B773" s="3"/>
      <c r="C773" s="3"/>
      <c r="D773" s="3"/>
      <c r="E773" s="3"/>
      <c r="F773" s="3"/>
      <c r="G773" s="3"/>
      <c r="H773" s="3"/>
    </row>
    <row r="774">
      <c r="B774" s="3"/>
      <c r="C774" s="3"/>
      <c r="D774" s="3"/>
      <c r="E774" s="3"/>
      <c r="F774" s="3"/>
      <c r="G774" s="3"/>
      <c r="H774" s="3"/>
    </row>
    <row r="775">
      <c r="B775" s="3"/>
      <c r="C775" s="3"/>
      <c r="D775" s="3"/>
      <c r="E775" s="3"/>
      <c r="F775" s="3"/>
      <c r="G775" s="3"/>
      <c r="H775" s="3"/>
    </row>
    <row r="776">
      <c r="B776" s="3"/>
      <c r="C776" s="3"/>
      <c r="D776" s="3"/>
      <c r="E776" s="3"/>
      <c r="F776" s="3"/>
      <c r="G776" s="3"/>
      <c r="H776" s="3"/>
    </row>
    <row r="777">
      <c r="B777" s="3"/>
      <c r="C777" s="3"/>
      <c r="D777" s="3"/>
      <c r="E777" s="3"/>
      <c r="F777" s="3"/>
      <c r="G777" s="3"/>
      <c r="H777" s="3"/>
    </row>
    <row r="778">
      <c r="B778" s="3"/>
      <c r="C778" s="3"/>
      <c r="D778" s="3"/>
      <c r="E778" s="3"/>
      <c r="F778" s="3"/>
      <c r="G778" s="3"/>
      <c r="H778" s="3"/>
    </row>
    <row r="779">
      <c r="B779" s="3"/>
      <c r="C779" s="3"/>
      <c r="D779" s="3"/>
      <c r="E779" s="3"/>
      <c r="F779" s="3"/>
      <c r="G779" s="3"/>
      <c r="H779" s="3"/>
    </row>
    <row r="780">
      <c r="B780" s="3"/>
      <c r="C780" s="3"/>
      <c r="D780" s="3"/>
      <c r="E780" s="3"/>
      <c r="F780" s="3"/>
      <c r="G780" s="3"/>
      <c r="H780" s="3"/>
    </row>
    <row r="781">
      <c r="B781" s="3"/>
      <c r="C781" s="3"/>
      <c r="D781" s="3"/>
      <c r="E781" s="3"/>
      <c r="F781" s="3"/>
      <c r="G781" s="3"/>
      <c r="H781" s="3"/>
    </row>
    <row r="782">
      <c r="B782" s="3"/>
      <c r="C782" s="3"/>
      <c r="D782" s="3"/>
      <c r="E782" s="3"/>
      <c r="F782" s="3"/>
      <c r="G782" s="3"/>
      <c r="H782" s="3"/>
    </row>
    <row r="783">
      <c r="B783" s="3"/>
      <c r="C783" s="3"/>
      <c r="D783" s="3"/>
      <c r="E783" s="3"/>
      <c r="F783" s="3"/>
      <c r="G783" s="3"/>
      <c r="H783" s="3"/>
    </row>
    <row r="784">
      <c r="B784" s="3"/>
      <c r="C784" s="3"/>
      <c r="D784" s="3"/>
      <c r="E784" s="3"/>
      <c r="F784" s="3"/>
      <c r="G784" s="3"/>
      <c r="H784" s="3"/>
    </row>
    <row r="785">
      <c r="B785" s="3"/>
      <c r="C785" s="3"/>
      <c r="D785" s="3"/>
      <c r="E785" s="3"/>
      <c r="F785" s="3"/>
      <c r="G785" s="3"/>
      <c r="H785" s="3"/>
    </row>
    <row r="786">
      <c r="B786" s="3"/>
      <c r="C786" s="3"/>
      <c r="D786" s="3"/>
      <c r="E786" s="3"/>
      <c r="F786" s="3"/>
      <c r="G786" s="3"/>
      <c r="H786" s="3"/>
    </row>
    <row r="787">
      <c r="B787" s="3"/>
      <c r="C787" s="3"/>
      <c r="D787" s="3"/>
      <c r="E787" s="3"/>
      <c r="F787" s="3"/>
      <c r="G787" s="3"/>
      <c r="H787" s="3"/>
    </row>
    <row r="788">
      <c r="B788" s="3"/>
      <c r="C788" s="3"/>
      <c r="D788" s="3"/>
      <c r="E788" s="3"/>
      <c r="F788" s="3"/>
      <c r="G788" s="3"/>
      <c r="H788" s="3"/>
    </row>
    <row r="789">
      <c r="B789" s="3"/>
      <c r="C789" s="3"/>
      <c r="D789" s="3"/>
      <c r="E789" s="3"/>
      <c r="F789" s="3"/>
      <c r="G789" s="3"/>
      <c r="H789" s="3"/>
    </row>
    <row r="790">
      <c r="B790" s="3"/>
      <c r="C790" s="3"/>
      <c r="D790" s="3"/>
      <c r="E790" s="3"/>
      <c r="F790" s="3"/>
      <c r="G790" s="3"/>
      <c r="H790" s="3"/>
    </row>
    <row r="791">
      <c r="B791" s="3"/>
      <c r="C791" s="3"/>
      <c r="D791" s="3"/>
      <c r="E791" s="3"/>
      <c r="F791" s="3"/>
      <c r="G791" s="3"/>
      <c r="H791" s="3"/>
    </row>
    <row r="792">
      <c r="B792" s="3"/>
      <c r="C792" s="3"/>
      <c r="D792" s="3"/>
      <c r="E792" s="3"/>
      <c r="F792" s="3"/>
      <c r="G792" s="3"/>
      <c r="H792" s="3"/>
    </row>
    <row r="793">
      <c r="B793" s="3"/>
      <c r="C793" s="3"/>
      <c r="D793" s="3"/>
      <c r="E793" s="3"/>
      <c r="F793" s="3"/>
      <c r="G793" s="3"/>
      <c r="H793" s="3"/>
    </row>
    <row r="794">
      <c r="B794" s="3"/>
      <c r="C794" s="3"/>
      <c r="D794" s="3"/>
      <c r="E794" s="3"/>
      <c r="F794" s="3"/>
      <c r="G794" s="3"/>
      <c r="H794" s="3"/>
    </row>
    <row r="795">
      <c r="B795" s="3"/>
      <c r="C795" s="3"/>
      <c r="D795" s="3"/>
      <c r="E795" s="3"/>
      <c r="F795" s="3"/>
      <c r="G795" s="3"/>
      <c r="H795" s="3"/>
    </row>
    <row r="796">
      <c r="B796" s="3"/>
      <c r="C796" s="3"/>
      <c r="D796" s="3"/>
      <c r="E796" s="3"/>
      <c r="F796" s="3"/>
      <c r="G796" s="3"/>
      <c r="H796" s="3"/>
    </row>
    <row r="797">
      <c r="B797" s="3"/>
      <c r="C797" s="3"/>
      <c r="D797" s="3"/>
      <c r="E797" s="3"/>
      <c r="F797" s="3"/>
      <c r="G797" s="3"/>
      <c r="H797" s="3"/>
    </row>
    <row r="798">
      <c r="B798" s="3"/>
      <c r="C798" s="3"/>
      <c r="D798" s="3"/>
      <c r="E798" s="3"/>
      <c r="F798" s="3"/>
      <c r="G798" s="3"/>
      <c r="H798" s="3"/>
    </row>
    <row r="799">
      <c r="B799" s="3"/>
      <c r="C799" s="3"/>
      <c r="D799" s="3"/>
      <c r="E799" s="3"/>
      <c r="F799" s="3"/>
      <c r="G799" s="3"/>
      <c r="H799" s="3"/>
    </row>
    <row r="800">
      <c r="B800" s="3"/>
      <c r="C800" s="3"/>
      <c r="D800" s="3"/>
      <c r="E800" s="3"/>
      <c r="F800" s="3"/>
      <c r="G800" s="3"/>
      <c r="H800" s="3"/>
    </row>
    <row r="801">
      <c r="B801" s="3"/>
      <c r="C801" s="3"/>
      <c r="D801" s="3"/>
      <c r="E801" s="3"/>
      <c r="F801" s="3"/>
      <c r="G801" s="3"/>
      <c r="H801" s="3"/>
    </row>
    <row r="802">
      <c r="B802" s="3"/>
      <c r="C802" s="3"/>
      <c r="D802" s="3"/>
      <c r="E802" s="3"/>
      <c r="F802" s="3"/>
      <c r="G802" s="3"/>
      <c r="H802" s="3"/>
    </row>
    <row r="803">
      <c r="B803" s="3"/>
      <c r="C803" s="3"/>
      <c r="D803" s="3"/>
      <c r="E803" s="3"/>
      <c r="F803" s="3"/>
      <c r="G803" s="3"/>
      <c r="H803" s="3"/>
    </row>
    <row r="804">
      <c r="B804" s="3"/>
      <c r="C804" s="3"/>
      <c r="D804" s="3"/>
      <c r="E804" s="3"/>
      <c r="F804" s="3"/>
      <c r="G804" s="3"/>
      <c r="H804" s="3"/>
    </row>
    <row r="805">
      <c r="B805" s="3"/>
      <c r="C805" s="3"/>
      <c r="D805" s="3"/>
      <c r="E805" s="3"/>
      <c r="F805" s="3"/>
      <c r="G805" s="3"/>
      <c r="H805" s="3"/>
    </row>
    <row r="806">
      <c r="B806" s="3"/>
      <c r="C806" s="3"/>
      <c r="D806" s="3"/>
      <c r="E806" s="3"/>
      <c r="F806" s="3"/>
      <c r="G806" s="3"/>
      <c r="H806" s="3"/>
    </row>
    <row r="807">
      <c r="B807" s="3"/>
      <c r="C807" s="3"/>
      <c r="D807" s="3"/>
      <c r="E807" s="3"/>
      <c r="F807" s="3"/>
      <c r="G807" s="3"/>
      <c r="H807" s="3"/>
    </row>
    <row r="808">
      <c r="B808" s="3"/>
      <c r="C808" s="3"/>
      <c r="D808" s="3"/>
      <c r="E808" s="3"/>
      <c r="F808" s="3"/>
      <c r="G808" s="3"/>
      <c r="H808" s="3"/>
    </row>
    <row r="809">
      <c r="B809" s="3"/>
      <c r="C809" s="3"/>
      <c r="D809" s="3"/>
      <c r="E809" s="3"/>
      <c r="F809" s="3"/>
      <c r="G809" s="3"/>
      <c r="H809" s="3"/>
    </row>
    <row r="810">
      <c r="B810" s="3"/>
      <c r="C810" s="3"/>
      <c r="D810" s="3"/>
      <c r="E810" s="3"/>
      <c r="F810" s="3"/>
      <c r="G810" s="3"/>
      <c r="H810" s="3"/>
    </row>
    <row r="811">
      <c r="B811" s="3"/>
      <c r="C811" s="3"/>
      <c r="D811" s="3"/>
      <c r="E811" s="3"/>
      <c r="F811" s="3"/>
      <c r="G811" s="3"/>
      <c r="H811" s="3"/>
    </row>
    <row r="812">
      <c r="B812" s="3"/>
      <c r="C812" s="3"/>
      <c r="D812" s="3"/>
      <c r="E812" s="3"/>
      <c r="F812" s="3"/>
      <c r="G812" s="3"/>
      <c r="H812" s="3"/>
    </row>
    <row r="813">
      <c r="B813" s="3"/>
      <c r="C813" s="3"/>
      <c r="D813" s="3"/>
      <c r="E813" s="3"/>
      <c r="F813" s="3"/>
      <c r="G813" s="3"/>
      <c r="H813" s="3"/>
    </row>
    <row r="814">
      <c r="B814" s="3"/>
      <c r="C814" s="3"/>
      <c r="D814" s="3"/>
      <c r="E814" s="3"/>
      <c r="F814" s="3"/>
      <c r="G814" s="3"/>
      <c r="H814" s="3"/>
    </row>
    <row r="815">
      <c r="B815" s="3"/>
      <c r="C815" s="3"/>
      <c r="D815" s="3"/>
      <c r="E815" s="3"/>
      <c r="F815" s="3"/>
      <c r="G815" s="3"/>
      <c r="H815" s="3"/>
    </row>
    <row r="816">
      <c r="B816" s="3"/>
      <c r="C816" s="3"/>
      <c r="D816" s="3"/>
      <c r="E816" s="3"/>
      <c r="F816" s="3"/>
      <c r="G816" s="3"/>
      <c r="H816" s="3"/>
    </row>
    <row r="817">
      <c r="B817" s="3"/>
      <c r="C817" s="3"/>
      <c r="D817" s="3"/>
      <c r="E817" s="3"/>
      <c r="F817" s="3"/>
      <c r="G817" s="3"/>
      <c r="H817" s="3"/>
    </row>
    <row r="818">
      <c r="B818" s="3"/>
      <c r="C818" s="3"/>
      <c r="D818" s="3"/>
      <c r="E818" s="3"/>
      <c r="F818" s="3"/>
      <c r="G818" s="3"/>
      <c r="H818" s="3"/>
    </row>
    <row r="819">
      <c r="B819" s="3"/>
      <c r="C819" s="3"/>
      <c r="D819" s="3"/>
      <c r="E819" s="3"/>
      <c r="F819" s="3"/>
      <c r="G819" s="3"/>
      <c r="H819" s="3"/>
    </row>
    <row r="820">
      <c r="B820" s="3"/>
      <c r="C820" s="3"/>
      <c r="D820" s="3"/>
      <c r="E820" s="3"/>
      <c r="F820" s="3"/>
      <c r="G820" s="3"/>
      <c r="H820" s="3"/>
    </row>
    <row r="821">
      <c r="B821" s="3"/>
      <c r="C821" s="3"/>
      <c r="D821" s="3"/>
      <c r="E821" s="3"/>
      <c r="F821" s="3"/>
      <c r="G821" s="3"/>
      <c r="H821" s="3"/>
    </row>
    <row r="822">
      <c r="B822" s="3"/>
      <c r="C822" s="3"/>
      <c r="D822" s="3"/>
      <c r="E822" s="3"/>
      <c r="F822" s="3"/>
      <c r="G822" s="3"/>
      <c r="H822" s="3"/>
    </row>
    <row r="823">
      <c r="B823" s="3"/>
      <c r="C823" s="3"/>
      <c r="D823" s="3"/>
      <c r="E823" s="3"/>
      <c r="F823" s="3"/>
      <c r="G823" s="3"/>
      <c r="H823" s="3"/>
    </row>
    <row r="824">
      <c r="B824" s="3"/>
      <c r="C824" s="3"/>
      <c r="D824" s="3"/>
      <c r="E824" s="3"/>
      <c r="F824" s="3"/>
      <c r="G824" s="3"/>
      <c r="H824" s="3"/>
    </row>
    <row r="825">
      <c r="B825" s="3"/>
      <c r="C825" s="3"/>
      <c r="D825" s="3"/>
      <c r="E825" s="3"/>
      <c r="F825" s="3"/>
      <c r="G825" s="3"/>
      <c r="H825" s="3"/>
    </row>
    <row r="826">
      <c r="B826" s="3"/>
      <c r="C826" s="3"/>
      <c r="D826" s="3"/>
      <c r="E826" s="3"/>
      <c r="F826" s="3"/>
      <c r="G826" s="3"/>
      <c r="H826" s="3"/>
    </row>
    <row r="827">
      <c r="B827" s="3"/>
      <c r="C827" s="3"/>
      <c r="D827" s="3"/>
      <c r="E827" s="3"/>
      <c r="F827" s="3"/>
      <c r="G827" s="3"/>
      <c r="H827" s="3"/>
    </row>
    <row r="828">
      <c r="B828" s="3"/>
      <c r="C828" s="3"/>
      <c r="D828" s="3"/>
      <c r="E828" s="3"/>
      <c r="F828" s="3"/>
      <c r="G828" s="3"/>
      <c r="H828" s="3"/>
    </row>
    <row r="829">
      <c r="B829" s="3"/>
      <c r="C829" s="3"/>
      <c r="D829" s="3"/>
      <c r="E829" s="3"/>
      <c r="F829" s="3"/>
      <c r="G829" s="3"/>
      <c r="H829" s="3"/>
    </row>
    <row r="830">
      <c r="B830" s="3"/>
      <c r="C830" s="3"/>
      <c r="D830" s="3"/>
      <c r="E830" s="3"/>
      <c r="F830" s="3"/>
      <c r="G830" s="3"/>
      <c r="H830" s="3"/>
    </row>
    <row r="831">
      <c r="B831" s="3"/>
      <c r="C831" s="3"/>
      <c r="D831" s="3"/>
      <c r="E831" s="3"/>
      <c r="F831" s="3"/>
      <c r="G831" s="3"/>
      <c r="H831" s="3"/>
    </row>
    <row r="832">
      <c r="B832" s="3"/>
      <c r="C832" s="3"/>
      <c r="D832" s="3"/>
      <c r="E832" s="3"/>
      <c r="F832" s="3"/>
      <c r="G832" s="3"/>
      <c r="H832" s="3"/>
    </row>
    <row r="833">
      <c r="B833" s="3"/>
      <c r="C833" s="3"/>
      <c r="D833" s="3"/>
      <c r="E833" s="3"/>
      <c r="F833" s="3"/>
      <c r="G833" s="3"/>
      <c r="H833" s="3"/>
    </row>
    <row r="834">
      <c r="B834" s="3"/>
      <c r="C834" s="3"/>
      <c r="D834" s="3"/>
      <c r="E834" s="3"/>
      <c r="F834" s="3"/>
      <c r="G834" s="3"/>
      <c r="H834" s="3"/>
    </row>
    <row r="835">
      <c r="B835" s="3"/>
      <c r="C835" s="3"/>
      <c r="D835" s="3"/>
      <c r="E835" s="3"/>
      <c r="F835" s="3"/>
      <c r="G835" s="3"/>
      <c r="H835" s="3"/>
    </row>
    <row r="836">
      <c r="B836" s="3"/>
      <c r="C836" s="3"/>
      <c r="D836" s="3"/>
      <c r="E836" s="3"/>
      <c r="F836" s="3"/>
      <c r="G836" s="3"/>
      <c r="H836" s="3"/>
    </row>
    <row r="837">
      <c r="B837" s="3"/>
      <c r="C837" s="3"/>
      <c r="D837" s="3"/>
      <c r="E837" s="3"/>
      <c r="F837" s="3"/>
      <c r="G837" s="3"/>
      <c r="H837" s="3"/>
    </row>
    <row r="838">
      <c r="B838" s="3"/>
      <c r="C838" s="3"/>
      <c r="D838" s="3"/>
      <c r="E838" s="3"/>
      <c r="F838" s="3"/>
      <c r="G838" s="3"/>
      <c r="H838" s="3"/>
    </row>
    <row r="839">
      <c r="B839" s="3"/>
      <c r="C839" s="3"/>
      <c r="D839" s="3"/>
      <c r="E839" s="3"/>
      <c r="F839" s="3"/>
      <c r="G839" s="3"/>
      <c r="H839" s="3"/>
    </row>
    <row r="840">
      <c r="B840" s="3"/>
      <c r="C840" s="3"/>
      <c r="D840" s="3"/>
      <c r="E840" s="3"/>
      <c r="F840" s="3"/>
      <c r="G840" s="3"/>
      <c r="H840" s="3"/>
    </row>
    <row r="841">
      <c r="B841" s="3"/>
      <c r="C841" s="3"/>
      <c r="D841" s="3"/>
      <c r="E841" s="3"/>
      <c r="F841" s="3"/>
      <c r="G841" s="3"/>
      <c r="H841" s="3"/>
    </row>
    <row r="842">
      <c r="B842" s="3"/>
      <c r="C842" s="3"/>
      <c r="D842" s="3"/>
      <c r="E842" s="3"/>
      <c r="F842" s="3"/>
      <c r="G842" s="3"/>
      <c r="H842" s="3"/>
    </row>
    <row r="843">
      <c r="B843" s="3"/>
      <c r="C843" s="3"/>
      <c r="D843" s="3"/>
      <c r="E843" s="3"/>
      <c r="F843" s="3"/>
      <c r="G843" s="3"/>
      <c r="H843" s="3"/>
    </row>
    <row r="844">
      <c r="B844" s="3"/>
      <c r="C844" s="3"/>
      <c r="D844" s="3"/>
      <c r="E844" s="3"/>
      <c r="F844" s="3"/>
      <c r="G844" s="3"/>
      <c r="H844" s="3"/>
    </row>
    <row r="845">
      <c r="B845" s="3"/>
      <c r="C845" s="3"/>
      <c r="D845" s="3"/>
      <c r="E845" s="3"/>
      <c r="F845" s="3"/>
      <c r="G845" s="3"/>
      <c r="H845" s="3"/>
    </row>
    <row r="846">
      <c r="B846" s="3"/>
      <c r="C846" s="3"/>
      <c r="D846" s="3"/>
      <c r="E846" s="3"/>
      <c r="F846" s="3"/>
      <c r="G846" s="3"/>
      <c r="H846" s="3"/>
    </row>
    <row r="847">
      <c r="B847" s="3"/>
      <c r="C847" s="3"/>
      <c r="D847" s="3"/>
      <c r="E847" s="3"/>
      <c r="F847" s="3"/>
      <c r="G847" s="3"/>
      <c r="H847" s="3"/>
    </row>
    <row r="848">
      <c r="B848" s="3"/>
      <c r="C848" s="3"/>
      <c r="D848" s="3"/>
      <c r="E848" s="3"/>
      <c r="F848" s="3"/>
      <c r="G848" s="3"/>
      <c r="H848" s="3"/>
    </row>
    <row r="849">
      <c r="B849" s="3"/>
      <c r="C849" s="3"/>
      <c r="D849" s="3"/>
      <c r="E849" s="3"/>
      <c r="F849" s="3"/>
      <c r="G849" s="3"/>
      <c r="H849" s="3"/>
    </row>
    <row r="850">
      <c r="B850" s="3"/>
      <c r="C850" s="3"/>
      <c r="D850" s="3"/>
      <c r="E850" s="3"/>
      <c r="F850" s="3"/>
      <c r="G850" s="3"/>
      <c r="H850" s="3"/>
    </row>
    <row r="851">
      <c r="B851" s="3"/>
      <c r="C851" s="3"/>
      <c r="D851" s="3"/>
      <c r="E851" s="3"/>
      <c r="F851" s="3"/>
      <c r="G851" s="3"/>
      <c r="H851" s="3"/>
    </row>
    <row r="852">
      <c r="B852" s="3"/>
      <c r="C852" s="3"/>
      <c r="D852" s="3"/>
      <c r="E852" s="3"/>
      <c r="F852" s="3"/>
      <c r="G852" s="3"/>
      <c r="H852" s="3"/>
    </row>
    <row r="853">
      <c r="B853" s="3"/>
      <c r="C853" s="3"/>
      <c r="D853" s="3"/>
      <c r="E853" s="3"/>
      <c r="F853" s="3"/>
      <c r="G853" s="3"/>
      <c r="H853" s="3"/>
    </row>
    <row r="854">
      <c r="B854" s="3"/>
      <c r="C854" s="3"/>
      <c r="D854" s="3"/>
      <c r="E854" s="3"/>
      <c r="F854" s="3"/>
      <c r="G854" s="3"/>
      <c r="H854" s="3"/>
    </row>
    <row r="855">
      <c r="B855" s="3"/>
      <c r="C855" s="3"/>
      <c r="D855" s="3"/>
      <c r="E855" s="3"/>
      <c r="F855" s="3"/>
      <c r="G855" s="3"/>
      <c r="H855" s="3"/>
    </row>
    <row r="856">
      <c r="B856" s="3"/>
      <c r="C856" s="3"/>
      <c r="D856" s="3"/>
      <c r="E856" s="3"/>
      <c r="F856" s="3"/>
      <c r="G856" s="3"/>
      <c r="H856" s="3"/>
    </row>
    <row r="857">
      <c r="B857" s="3"/>
      <c r="C857" s="3"/>
      <c r="D857" s="3"/>
      <c r="E857" s="3"/>
      <c r="F857" s="3"/>
      <c r="G857" s="3"/>
      <c r="H857" s="3"/>
    </row>
    <row r="858">
      <c r="B858" s="3"/>
      <c r="C858" s="3"/>
      <c r="D858" s="3"/>
      <c r="E858" s="3"/>
      <c r="F858" s="3"/>
      <c r="G858" s="3"/>
      <c r="H858" s="3"/>
    </row>
    <row r="859">
      <c r="B859" s="3"/>
      <c r="C859" s="3"/>
      <c r="D859" s="3"/>
      <c r="E859" s="3"/>
      <c r="F859" s="3"/>
      <c r="G859" s="3"/>
      <c r="H859" s="3"/>
    </row>
    <row r="860">
      <c r="B860" s="3"/>
      <c r="C860" s="3"/>
      <c r="D860" s="3"/>
      <c r="E860" s="3"/>
      <c r="F860" s="3"/>
      <c r="G860" s="3"/>
      <c r="H860" s="3"/>
    </row>
    <row r="861">
      <c r="B861" s="3"/>
      <c r="C861" s="3"/>
      <c r="D861" s="3"/>
      <c r="E861" s="3"/>
      <c r="F861" s="3"/>
      <c r="G861" s="3"/>
      <c r="H861" s="3"/>
    </row>
    <row r="862">
      <c r="B862" s="3"/>
      <c r="C862" s="3"/>
      <c r="D862" s="3"/>
      <c r="E862" s="3"/>
      <c r="F862" s="3"/>
      <c r="G862" s="3"/>
      <c r="H862" s="3"/>
    </row>
    <row r="863">
      <c r="B863" s="3"/>
      <c r="C863" s="3"/>
      <c r="D863" s="3"/>
      <c r="E863" s="3"/>
      <c r="F863" s="3"/>
      <c r="G863" s="3"/>
      <c r="H863" s="3"/>
    </row>
    <row r="864">
      <c r="B864" s="3"/>
      <c r="C864" s="3"/>
      <c r="D864" s="3"/>
      <c r="E864" s="3"/>
      <c r="F864" s="3"/>
      <c r="G864" s="3"/>
      <c r="H864" s="3"/>
    </row>
    <row r="865">
      <c r="B865" s="3"/>
      <c r="C865" s="3"/>
      <c r="D865" s="3"/>
      <c r="E865" s="3"/>
      <c r="F865" s="3"/>
      <c r="G865" s="3"/>
      <c r="H865" s="3"/>
    </row>
    <row r="866">
      <c r="B866" s="3"/>
      <c r="C866" s="3"/>
      <c r="D866" s="3"/>
      <c r="E866" s="3"/>
      <c r="F866" s="3"/>
      <c r="G866" s="3"/>
      <c r="H866" s="3"/>
    </row>
    <row r="867">
      <c r="B867" s="3"/>
      <c r="C867" s="3"/>
      <c r="D867" s="3"/>
      <c r="E867" s="3"/>
      <c r="F867" s="3"/>
      <c r="G867" s="3"/>
      <c r="H867" s="3"/>
    </row>
    <row r="868">
      <c r="B868" s="3"/>
      <c r="C868" s="3"/>
      <c r="D868" s="3"/>
      <c r="E868" s="3"/>
      <c r="F868" s="3"/>
      <c r="G868" s="3"/>
      <c r="H868" s="3"/>
    </row>
    <row r="869">
      <c r="B869" s="3"/>
      <c r="C869" s="3"/>
      <c r="D869" s="3"/>
      <c r="E869" s="3"/>
      <c r="F869" s="3"/>
      <c r="G869" s="3"/>
      <c r="H869" s="3"/>
    </row>
    <row r="870">
      <c r="B870" s="3"/>
      <c r="C870" s="3"/>
      <c r="D870" s="3"/>
      <c r="E870" s="3"/>
      <c r="F870" s="3"/>
      <c r="G870" s="3"/>
      <c r="H870" s="3"/>
    </row>
    <row r="871">
      <c r="B871" s="3"/>
      <c r="C871" s="3"/>
      <c r="D871" s="3"/>
      <c r="E871" s="3"/>
      <c r="F871" s="3"/>
      <c r="G871" s="3"/>
      <c r="H871" s="3"/>
    </row>
    <row r="872">
      <c r="B872" s="3"/>
      <c r="C872" s="3"/>
      <c r="D872" s="3"/>
      <c r="E872" s="3"/>
      <c r="F872" s="3"/>
      <c r="G872" s="3"/>
      <c r="H872" s="3"/>
    </row>
    <row r="873">
      <c r="B873" s="3"/>
      <c r="C873" s="3"/>
      <c r="D873" s="3"/>
      <c r="E873" s="3"/>
      <c r="F873" s="3"/>
      <c r="G873" s="3"/>
      <c r="H873" s="3"/>
    </row>
    <row r="874">
      <c r="B874" s="3"/>
      <c r="C874" s="3"/>
      <c r="D874" s="3"/>
      <c r="E874" s="3"/>
      <c r="F874" s="3"/>
      <c r="G874" s="3"/>
      <c r="H874" s="3"/>
    </row>
    <row r="875">
      <c r="B875" s="3"/>
      <c r="C875" s="3"/>
      <c r="D875" s="3"/>
      <c r="E875" s="3"/>
      <c r="F875" s="3"/>
      <c r="G875" s="3"/>
      <c r="H875" s="3"/>
    </row>
    <row r="876">
      <c r="B876" s="3"/>
      <c r="C876" s="3"/>
      <c r="D876" s="3"/>
      <c r="E876" s="3"/>
      <c r="F876" s="3"/>
      <c r="G876" s="3"/>
      <c r="H876" s="3"/>
    </row>
    <row r="877">
      <c r="B877" s="3"/>
      <c r="C877" s="3"/>
      <c r="D877" s="3"/>
      <c r="E877" s="3"/>
      <c r="F877" s="3"/>
      <c r="G877" s="3"/>
      <c r="H877" s="3"/>
    </row>
    <row r="878">
      <c r="B878" s="3"/>
      <c r="C878" s="3"/>
      <c r="D878" s="3"/>
      <c r="E878" s="3"/>
      <c r="F878" s="3"/>
      <c r="G878" s="3"/>
      <c r="H878" s="3"/>
    </row>
    <row r="879">
      <c r="B879" s="3"/>
      <c r="C879" s="3"/>
      <c r="D879" s="3"/>
      <c r="E879" s="3"/>
      <c r="F879" s="3"/>
      <c r="G879" s="3"/>
      <c r="H879" s="3"/>
    </row>
    <row r="880">
      <c r="B880" s="3"/>
      <c r="C880" s="3"/>
      <c r="D880" s="3"/>
      <c r="E880" s="3"/>
      <c r="F880" s="3"/>
      <c r="G880" s="3"/>
      <c r="H880" s="3"/>
    </row>
    <row r="881">
      <c r="B881" s="3"/>
      <c r="C881" s="3"/>
      <c r="D881" s="3"/>
      <c r="E881" s="3"/>
      <c r="F881" s="3"/>
      <c r="G881" s="3"/>
      <c r="H881" s="3"/>
    </row>
    <row r="882">
      <c r="B882" s="3"/>
      <c r="C882" s="3"/>
      <c r="D882" s="3"/>
      <c r="E882" s="3"/>
      <c r="F882" s="3"/>
      <c r="G882" s="3"/>
      <c r="H882" s="3"/>
    </row>
    <row r="883">
      <c r="B883" s="3"/>
      <c r="C883" s="3"/>
      <c r="D883" s="3"/>
      <c r="E883" s="3"/>
      <c r="F883" s="3"/>
      <c r="G883" s="3"/>
      <c r="H883" s="3"/>
    </row>
    <row r="884">
      <c r="B884" s="3"/>
      <c r="C884" s="3"/>
      <c r="D884" s="3"/>
      <c r="E884" s="3"/>
      <c r="F884" s="3"/>
      <c r="G884" s="3"/>
      <c r="H884" s="3"/>
    </row>
    <row r="885">
      <c r="B885" s="3"/>
      <c r="C885" s="3"/>
      <c r="D885" s="3"/>
      <c r="E885" s="3"/>
      <c r="F885" s="3"/>
      <c r="G885" s="3"/>
      <c r="H885" s="3"/>
    </row>
    <row r="886">
      <c r="B886" s="3"/>
      <c r="C886" s="3"/>
      <c r="D886" s="3"/>
      <c r="E886" s="3"/>
      <c r="F886" s="3"/>
      <c r="G886" s="3"/>
      <c r="H886" s="3"/>
    </row>
    <row r="887">
      <c r="B887" s="3"/>
      <c r="C887" s="3"/>
      <c r="D887" s="3"/>
      <c r="E887" s="3"/>
      <c r="F887" s="3"/>
      <c r="G887" s="3"/>
      <c r="H887" s="3"/>
    </row>
    <row r="888">
      <c r="B888" s="3"/>
      <c r="C888" s="3"/>
      <c r="D888" s="3"/>
      <c r="E888" s="3"/>
      <c r="F888" s="3"/>
      <c r="G888" s="3"/>
      <c r="H888" s="3"/>
    </row>
    <row r="889">
      <c r="B889" s="3"/>
      <c r="C889" s="3"/>
      <c r="D889" s="3"/>
      <c r="E889" s="3"/>
      <c r="F889" s="3"/>
      <c r="G889" s="3"/>
      <c r="H889" s="3"/>
    </row>
    <row r="890">
      <c r="B890" s="3"/>
      <c r="C890" s="3"/>
      <c r="D890" s="3"/>
      <c r="E890" s="3"/>
      <c r="F890" s="3"/>
      <c r="G890" s="3"/>
      <c r="H890" s="3"/>
    </row>
    <row r="891">
      <c r="B891" s="3"/>
      <c r="C891" s="3"/>
      <c r="D891" s="3"/>
      <c r="E891" s="3"/>
      <c r="F891" s="3"/>
      <c r="G891" s="3"/>
      <c r="H891" s="3"/>
    </row>
    <row r="892">
      <c r="B892" s="3"/>
      <c r="C892" s="3"/>
      <c r="D892" s="3"/>
      <c r="E892" s="3"/>
      <c r="F892" s="3"/>
      <c r="G892" s="3"/>
      <c r="H892" s="3"/>
    </row>
    <row r="893">
      <c r="B893" s="3"/>
      <c r="C893" s="3"/>
      <c r="D893" s="3"/>
      <c r="E893" s="3"/>
      <c r="F893" s="3"/>
      <c r="G893" s="3"/>
      <c r="H893" s="3"/>
    </row>
    <row r="894">
      <c r="B894" s="3"/>
      <c r="C894" s="3"/>
      <c r="D894" s="3"/>
      <c r="E894" s="3"/>
      <c r="F894" s="3"/>
      <c r="G894" s="3"/>
      <c r="H894" s="3"/>
    </row>
    <row r="895">
      <c r="B895" s="3"/>
      <c r="C895" s="3"/>
      <c r="D895" s="3"/>
      <c r="E895" s="3"/>
      <c r="F895" s="3"/>
      <c r="G895" s="3"/>
      <c r="H895" s="3"/>
    </row>
    <row r="896">
      <c r="B896" s="3"/>
      <c r="C896" s="3"/>
      <c r="D896" s="3"/>
      <c r="E896" s="3"/>
      <c r="F896" s="3"/>
      <c r="G896" s="3"/>
      <c r="H896" s="3"/>
    </row>
    <row r="897">
      <c r="B897" s="3"/>
      <c r="C897" s="3"/>
      <c r="D897" s="3"/>
      <c r="E897" s="3"/>
      <c r="F897" s="3"/>
      <c r="G897" s="3"/>
      <c r="H897" s="3"/>
    </row>
    <row r="898">
      <c r="B898" s="3"/>
      <c r="C898" s="3"/>
      <c r="D898" s="3"/>
      <c r="E898" s="3"/>
      <c r="F898" s="3"/>
      <c r="G898" s="3"/>
      <c r="H898" s="3"/>
    </row>
    <row r="899">
      <c r="B899" s="3"/>
      <c r="C899" s="3"/>
      <c r="D899" s="3"/>
      <c r="E899" s="3"/>
      <c r="F899" s="3"/>
      <c r="G899" s="3"/>
      <c r="H899" s="3"/>
    </row>
    <row r="900">
      <c r="B900" s="3"/>
      <c r="C900" s="3"/>
      <c r="D900" s="3"/>
      <c r="E900" s="3"/>
      <c r="F900" s="3"/>
      <c r="G900" s="3"/>
      <c r="H900" s="3"/>
    </row>
    <row r="901">
      <c r="B901" s="3"/>
      <c r="C901" s="3"/>
      <c r="D901" s="3"/>
      <c r="E901" s="3"/>
      <c r="F901" s="3"/>
      <c r="G901" s="3"/>
      <c r="H901" s="3"/>
    </row>
    <row r="902">
      <c r="B902" s="3"/>
      <c r="C902" s="3"/>
      <c r="D902" s="3"/>
      <c r="E902" s="3"/>
      <c r="F902" s="3"/>
      <c r="G902" s="3"/>
      <c r="H902" s="3"/>
    </row>
    <row r="903">
      <c r="B903" s="3"/>
      <c r="C903" s="3"/>
      <c r="D903" s="3"/>
      <c r="E903" s="3"/>
      <c r="F903" s="3"/>
      <c r="G903" s="3"/>
      <c r="H903" s="3"/>
    </row>
    <row r="904">
      <c r="B904" s="3"/>
      <c r="C904" s="3"/>
      <c r="D904" s="3"/>
      <c r="E904" s="3"/>
      <c r="F904" s="3"/>
      <c r="G904" s="3"/>
      <c r="H904" s="3"/>
    </row>
    <row r="905">
      <c r="B905" s="3"/>
      <c r="C905" s="3"/>
      <c r="D905" s="3"/>
      <c r="E905" s="3"/>
      <c r="F905" s="3"/>
      <c r="G905" s="3"/>
      <c r="H905" s="3"/>
    </row>
    <row r="906">
      <c r="B906" s="3"/>
      <c r="C906" s="3"/>
      <c r="D906" s="3"/>
      <c r="E906" s="3"/>
      <c r="F906" s="3"/>
      <c r="G906" s="3"/>
      <c r="H906" s="3"/>
    </row>
    <row r="907">
      <c r="B907" s="3"/>
      <c r="C907" s="3"/>
      <c r="D907" s="3"/>
      <c r="E907" s="3"/>
      <c r="F907" s="3"/>
      <c r="G907" s="3"/>
      <c r="H907" s="3"/>
    </row>
    <row r="908">
      <c r="B908" s="3"/>
      <c r="C908" s="3"/>
      <c r="D908" s="3"/>
      <c r="E908" s="3"/>
      <c r="F908" s="3"/>
      <c r="G908" s="3"/>
      <c r="H908" s="3"/>
    </row>
    <row r="909">
      <c r="B909" s="3"/>
      <c r="C909" s="3"/>
      <c r="D909" s="3"/>
      <c r="E909" s="3"/>
      <c r="F909" s="3"/>
      <c r="G909" s="3"/>
      <c r="H909" s="3"/>
    </row>
    <row r="910">
      <c r="B910" s="3"/>
      <c r="C910" s="3"/>
      <c r="D910" s="3"/>
      <c r="E910" s="3"/>
      <c r="F910" s="3"/>
      <c r="G910" s="3"/>
      <c r="H910" s="3"/>
    </row>
    <row r="911">
      <c r="B911" s="3"/>
      <c r="C911" s="3"/>
      <c r="D911" s="3"/>
      <c r="E911" s="3"/>
      <c r="F911" s="3"/>
      <c r="G911" s="3"/>
      <c r="H911" s="3"/>
    </row>
    <row r="912">
      <c r="B912" s="3"/>
      <c r="C912" s="3"/>
      <c r="D912" s="3"/>
      <c r="E912" s="3"/>
      <c r="F912" s="3"/>
      <c r="G912" s="3"/>
      <c r="H912" s="3"/>
    </row>
    <row r="913">
      <c r="B913" s="3"/>
      <c r="C913" s="3"/>
      <c r="D913" s="3"/>
      <c r="E913" s="3"/>
      <c r="F913" s="3"/>
      <c r="G913" s="3"/>
      <c r="H913" s="3"/>
    </row>
    <row r="914">
      <c r="B914" s="3"/>
      <c r="C914" s="3"/>
      <c r="D914" s="3"/>
      <c r="E914" s="3"/>
      <c r="F914" s="3"/>
      <c r="G914" s="3"/>
      <c r="H914" s="3"/>
    </row>
    <row r="915">
      <c r="B915" s="3"/>
      <c r="C915" s="3"/>
      <c r="D915" s="3"/>
      <c r="E915" s="3"/>
      <c r="F915" s="3"/>
      <c r="G915" s="3"/>
      <c r="H915" s="3"/>
    </row>
    <row r="916">
      <c r="B916" s="3"/>
      <c r="C916" s="3"/>
      <c r="D916" s="3"/>
      <c r="E916" s="3"/>
      <c r="F916" s="3"/>
      <c r="G916" s="3"/>
      <c r="H916" s="3"/>
    </row>
    <row r="917">
      <c r="B917" s="3"/>
      <c r="C917" s="3"/>
      <c r="D917" s="3"/>
      <c r="E917" s="3"/>
      <c r="F917" s="3"/>
      <c r="G917" s="3"/>
      <c r="H917" s="3"/>
    </row>
    <row r="918">
      <c r="B918" s="3"/>
      <c r="C918" s="3"/>
      <c r="D918" s="3"/>
      <c r="E918" s="3"/>
      <c r="F918" s="3"/>
      <c r="G918" s="3"/>
      <c r="H918" s="3"/>
    </row>
    <row r="919">
      <c r="B919" s="3"/>
      <c r="C919" s="3"/>
      <c r="D919" s="3"/>
      <c r="E919" s="3"/>
      <c r="F919" s="3"/>
      <c r="G919" s="3"/>
      <c r="H919" s="3"/>
    </row>
    <row r="920">
      <c r="B920" s="3"/>
      <c r="C920" s="3"/>
      <c r="D920" s="3"/>
      <c r="E920" s="3"/>
      <c r="F920" s="3"/>
      <c r="G920" s="3"/>
      <c r="H920" s="3"/>
    </row>
    <row r="921">
      <c r="B921" s="3"/>
      <c r="C921" s="3"/>
      <c r="D921" s="3"/>
      <c r="E921" s="3"/>
      <c r="F921" s="3"/>
      <c r="G921" s="3"/>
      <c r="H921" s="3"/>
    </row>
    <row r="922">
      <c r="B922" s="3"/>
      <c r="C922" s="3"/>
      <c r="D922" s="3"/>
      <c r="E922" s="3"/>
      <c r="F922" s="3"/>
      <c r="G922" s="3"/>
      <c r="H922" s="3"/>
    </row>
    <row r="923">
      <c r="B923" s="3"/>
      <c r="C923" s="3"/>
      <c r="D923" s="3"/>
      <c r="E923" s="3"/>
      <c r="F923" s="3"/>
      <c r="G923" s="3"/>
      <c r="H923" s="3"/>
    </row>
    <row r="924">
      <c r="B924" s="3"/>
      <c r="C924" s="3"/>
      <c r="D924" s="3"/>
      <c r="E924" s="3"/>
      <c r="F924" s="3"/>
      <c r="G924" s="3"/>
      <c r="H924" s="3"/>
    </row>
    <row r="925">
      <c r="B925" s="3"/>
      <c r="C925" s="3"/>
      <c r="D925" s="3"/>
      <c r="E925" s="3"/>
      <c r="F925" s="3"/>
      <c r="G925" s="3"/>
      <c r="H925" s="3"/>
    </row>
    <row r="926">
      <c r="B926" s="3"/>
      <c r="C926" s="3"/>
      <c r="D926" s="3"/>
      <c r="E926" s="3"/>
      <c r="F926" s="3"/>
      <c r="G926" s="3"/>
      <c r="H926" s="3"/>
    </row>
    <row r="927">
      <c r="B927" s="3"/>
      <c r="C927" s="3"/>
      <c r="D927" s="3"/>
      <c r="E927" s="3"/>
      <c r="F927" s="3"/>
      <c r="G927" s="3"/>
      <c r="H927" s="3"/>
    </row>
    <row r="928">
      <c r="B928" s="3"/>
      <c r="C928" s="3"/>
      <c r="D928" s="3"/>
      <c r="E928" s="3"/>
      <c r="F928" s="3"/>
      <c r="G928" s="3"/>
      <c r="H928" s="3"/>
    </row>
    <row r="929">
      <c r="B929" s="3"/>
      <c r="C929" s="3"/>
      <c r="D929" s="3"/>
      <c r="E929" s="3"/>
      <c r="F929" s="3"/>
      <c r="G929" s="3"/>
      <c r="H929" s="3"/>
    </row>
    <row r="930">
      <c r="B930" s="3"/>
      <c r="C930" s="3"/>
      <c r="D930" s="3"/>
      <c r="E930" s="3"/>
      <c r="F930" s="3"/>
      <c r="G930" s="3"/>
      <c r="H930" s="3"/>
    </row>
    <row r="931">
      <c r="B931" s="3"/>
      <c r="C931" s="3"/>
      <c r="D931" s="3"/>
      <c r="E931" s="3"/>
      <c r="F931" s="3"/>
      <c r="G931" s="3"/>
      <c r="H931" s="3"/>
    </row>
    <row r="932">
      <c r="B932" s="3"/>
      <c r="C932" s="3"/>
      <c r="D932" s="3"/>
      <c r="E932" s="3"/>
      <c r="F932" s="3"/>
      <c r="G932" s="3"/>
      <c r="H932" s="3"/>
    </row>
    <row r="933">
      <c r="B933" s="3"/>
      <c r="C933" s="3"/>
      <c r="D933" s="3"/>
      <c r="E933" s="3"/>
      <c r="F933" s="3"/>
      <c r="G933" s="3"/>
      <c r="H933" s="3"/>
    </row>
    <row r="934">
      <c r="B934" s="3"/>
      <c r="C934" s="3"/>
      <c r="D934" s="3"/>
      <c r="E934" s="3"/>
      <c r="F934" s="3"/>
      <c r="G934" s="3"/>
      <c r="H934" s="3"/>
    </row>
    <row r="935">
      <c r="B935" s="3"/>
      <c r="C935" s="3"/>
      <c r="D935" s="3"/>
      <c r="E935" s="3"/>
      <c r="F935" s="3"/>
      <c r="G935" s="3"/>
      <c r="H935" s="3"/>
    </row>
    <row r="936">
      <c r="B936" s="3"/>
      <c r="C936" s="3"/>
      <c r="D936" s="3"/>
      <c r="E936" s="3"/>
      <c r="F936" s="3"/>
      <c r="G936" s="3"/>
      <c r="H936" s="3"/>
    </row>
    <row r="937">
      <c r="B937" s="3"/>
      <c r="C937" s="3"/>
      <c r="D937" s="3"/>
      <c r="E937" s="3"/>
      <c r="F937" s="3"/>
      <c r="G937" s="3"/>
      <c r="H937" s="3"/>
    </row>
    <row r="938">
      <c r="B938" s="3"/>
      <c r="C938" s="3"/>
      <c r="D938" s="3"/>
      <c r="E938" s="3"/>
      <c r="F938" s="3"/>
      <c r="G938" s="3"/>
      <c r="H938" s="3"/>
    </row>
    <row r="939">
      <c r="B939" s="3"/>
      <c r="C939" s="3"/>
      <c r="D939" s="3"/>
      <c r="E939" s="3"/>
      <c r="F939" s="3"/>
      <c r="G939" s="3"/>
      <c r="H939" s="3"/>
    </row>
    <row r="940">
      <c r="B940" s="3"/>
      <c r="C940" s="3"/>
      <c r="D940" s="3"/>
      <c r="E940" s="3"/>
      <c r="F940" s="3"/>
      <c r="G940" s="3"/>
      <c r="H940" s="3"/>
    </row>
    <row r="941">
      <c r="B941" s="3"/>
      <c r="C941" s="3"/>
      <c r="D941" s="3"/>
      <c r="E941" s="3"/>
      <c r="F941" s="3"/>
      <c r="G941" s="3"/>
      <c r="H941" s="3"/>
    </row>
    <row r="942">
      <c r="B942" s="3"/>
      <c r="C942" s="3"/>
      <c r="D942" s="3"/>
      <c r="E942" s="3"/>
      <c r="F942" s="3"/>
      <c r="G942" s="3"/>
      <c r="H942" s="3"/>
    </row>
    <row r="943">
      <c r="B943" s="3"/>
      <c r="C943" s="3"/>
      <c r="D943" s="3"/>
      <c r="E943" s="3"/>
      <c r="F943" s="3"/>
      <c r="G943" s="3"/>
      <c r="H943" s="3"/>
    </row>
    <row r="944">
      <c r="B944" s="3"/>
      <c r="C944" s="3"/>
      <c r="D944" s="3"/>
      <c r="E944" s="3"/>
      <c r="F944" s="3"/>
      <c r="G944" s="3"/>
      <c r="H944" s="3"/>
    </row>
    <row r="945">
      <c r="B945" s="3"/>
      <c r="C945" s="3"/>
      <c r="D945" s="3"/>
      <c r="E945" s="3"/>
      <c r="F945" s="3"/>
      <c r="G945" s="3"/>
      <c r="H945" s="3"/>
    </row>
    <row r="946">
      <c r="B946" s="3"/>
      <c r="C946" s="3"/>
      <c r="D946" s="3"/>
      <c r="E946" s="3"/>
      <c r="F946" s="3"/>
      <c r="G946" s="3"/>
      <c r="H946" s="3"/>
    </row>
    <row r="947">
      <c r="B947" s="3"/>
      <c r="C947" s="3"/>
      <c r="D947" s="3"/>
      <c r="E947" s="3"/>
      <c r="F947" s="3"/>
      <c r="G947" s="3"/>
      <c r="H947" s="3"/>
    </row>
    <row r="948">
      <c r="B948" s="3"/>
      <c r="C948" s="3"/>
      <c r="D948" s="3"/>
      <c r="E948" s="3"/>
      <c r="F948" s="3"/>
      <c r="G948" s="3"/>
      <c r="H948" s="3"/>
    </row>
    <row r="949">
      <c r="B949" s="3"/>
      <c r="C949" s="3"/>
      <c r="D949" s="3"/>
      <c r="E949" s="3"/>
      <c r="F949" s="3"/>
      <c r="G949" s="3"/>
      <c r="H949" s="3"/>
    </row>
    <row r="950">
      <c r="B950" s="3"/>
      <c r="C950" s="3"/>
      <c r="D950" s="3"/>
      <c r="E950" s="3"/>
      <c r="F950" s="3"/>
      <c r="G950" s="3"/>
      <c r="H950" s="3"/>
    </row>
    <row r="951">
      <c r="B951" s="3"/>
      <c r="C951" s="3"/>
      <c r="D951" s="3"/>
      <c r="E951" s="3"/>
      <c r="F951" s="3"/>
      <c r="G951" s="3"/>
      <c r="H951" s="3"/>
    </row>
    <row r="952">
      <c r="B952" s="3"/>
      <c r="C952" s="3"/>
      <c r="D952" s="3"/>
      <c r="E952" s="3"/>
      <c r="F952" s="3"/>
      <c r="G952" s="3"/>
      <c r="H952" s="3"/>
    </row>
    <row r="953">
      <c r="B953" s="3"/>
      <c r="C953" s="3"/>
      <c r="D953" s="3"/>
      <c r="E953" s="3"/>
      <c r="F953" s="3"/>
      <c r="G953" s="3"/>
      <c r="H953" s="3"/>
    </row>
    <row r="954">
      <c r="B954" s="3"/>
      <c r="C954" s="3"/>
      <c r="D954" s="3"/>
      <c r="E954" s="3"/>
      <c r="F954" s="3"/>
      <c r="G954" s="3"/>
      <c r="H954" s="3"/>
    </row>
    <row r="955">
      <c r="B955" s="3"/>
      <c r="C955" s="3"/>
      <c r="D955" s="3"/>
      <c r="E955" s="3"/>
      <c r="F955" s="3"/>
      <c r="G955" s="3"/>
      <c r="H955" s="3"/>
    </row>
    <row r="956">
      <c r="B956" s="3"/>
      <c r="C956" s="3"/>
      <c r="D956" s="3"/>
      <c r="E956" s="3"/>
      <c r="F956" s="3"/>
      <c r="G956" s="3"/>
      <c r="H956" s="3"/>
    </row>
    <row r="957">
      <c r="B957" s="3"/>
      <c r="C957" s="3"/>
      <c r="D957" s="3"/>
      <c r="E957" s="3"/>
      <c r="F957" s="3"/>
      <c r="G957" s="3"/>
      <c r="H957" s="3"/>
    </row>
    <row r="958">
      <c r="B958" s="3"/>
      <c r="C958" s="3"/>
      <c r="D958" s="3"/>
      <c r="E958" s="3"/>
      <c r="F958" s="3"/>
      <c r="G958" s="3"/>
      <c r="H958" s="3"/>
    </row>
    <row r="959">
      <c r="B959" s="3"/>
      <c r="C959" s="3"/>
      <c r="D959" s="3"/>
      <c r="E959" s="3"/>
      <c r="F959" s="3"/>
      <c r="G959" s="3"/>
      <c r="H959" s="3"/>
    </row>
    <row r="960">
      <c r="B960" s="3"/>
      <c r="C960" s="3"/>
      <c r="D960" s="3"/>
      <c r="E960" s="3"/>
      <c r="F960" s="3"/>
      <c r="G960" s="3"/>
      <c r="H960" s="3"/>
    </row>
    <row r="961">
      <c r="B961" s="3"/>
      <c r="C961" s="3"/>
      <c r="D961" s="3"/>
      <c r="E961" s="3"/>
      <c r="F961" s="3"/>
      <c r="G961" s="3"/>
      <c r="H961" s="3"/>
    </row>
    <row r="962">
      <c r="B962" s="3"/>
      <c r="C962" s="3"/>
      <c r="D962" s="3"/>
      <c r="E962" s="3"/>
      <c r="F962" s="3"/>
      <c r="G962" s="3"/>
      <c r="H962" s="3"/>
    </row>
    <row r="963">
      <c r="B963" s="3"/>
      <c r="C963" s="3"/>
      <c r="D963" s="3"/>
      <c r="E963" s="3"/>
      <c r="F963" s="3"/>
      <c r="G963" s="3"/>
      <c r="H963" s="3"/>
    </row>
    <row r="964">
      <c r="B964" s="3"/>
      <c r="C964" s="3"/>
      <c r="D964" s="3"/>
      <c r="E964" s="3"/>
      <c r="F964" s="3"/>
      <c r="G964" s="3"/>
      <c r="H964" s="3"/>
    </row>
    <row r="965">
      <c r="B965" s="3"/>
      <c r="C965" s="3"/>
      <c r="D965" s="3"/>
      <c r="E965" s="3"/>
      <c r="F965" s="3"/>
      <c r="G965" s="3"/>
      <c r="H965" s="3"/>
    </row>
    <row r="966">
      <c r="B966" s="3"/>
      <c r="C966" s="3"/>
      <c r="D966" s="3"/>
      <c r="E966" s="3"/>
      <c r="F966" s="3"/>
      <c r="G966" s="3"/>
      <c r="H966" s="3"/>
    </row>
    <row r="967">
      <c r="B967" s="3"/>
      <c r="C967" s="3"/>
      <c r="D967" s="3"/>
      <c r="E967" s="3"/>
      <c r="F967" s="3"/>
      <c r="G967" s="3"/>
      <c r="H967" s="3"/>
    </row>
    <row r="968">
      <c r="B968" s="3"/>
      <c r="C968" s="3"/>
      <c r="D968" s="3"/>
      <c r="E968" s="3"/>
      <c r="F968" s="3"/>
      <c r="G968" s="3"/>
      <c r="H968" s="3"/>
    </row>
    <row r="969">
      <c r="B969" s="3"/>
      <c r="C969" s="3"/>
      <c r="D969" s="3"/>
      <c r="E969" s="3"/>
      <c r="F969" s="3"/>
      <c r="G969" s="3"/>
      <c r="H969" s="3"/>
    </row>
    <row r="970">
      <c r="B970" s="3"/>
      <c r="C970" s="3"/>
      <c r="D970" s="3"/>
      <c r="E970" s="3"/>
      <c r="F970" s="3"/>
      <c r="G970" s="3"/>
      <c r="H970" s="3"/>
    </row>
    <row r="971">
      <c r="B971" s="3"/>
      <c r="C971" s="3"/>
      <c r="D971" s="3"/>
      <c r="E971" s="3"/>
      <c r="F971" s="3"/>
      <c r="G971" s="3"/>
      <c r="H971" s="3"/>
    </row>
    <row r="972">
      <c r="B972" s="3"/>
      <c r="C972" s="3"/>
      <c r="D972" s="3"/>
      <c r="E972" s="3"/>
      <c r="F972" s="3"/>
      <c r="G972" s="3"/>
      <c r="H972" s="3"/>
    </row>
    <row r="973">
      <c r="B973" s="3"/>
      <c r="C973" s="3"/>
      <c r="D973" s="3"/>
      <c r="E973" s="3"/>
      <c r="F973" s="3"/>
      <c r="G973" s="3"/>
      <c r="H973" s="3"/>
    </row>
    <row r="974">
      <c r="B974" s="3"/>
      <c r="C974" s="3"/>
      <c r="D974" s="3"/>
      <c r="E974" s="3"/>
      <c r="F974" s="3"/>
      <c r="G974" s="3"/>
      <c r="H974" s="3"/>
    </row>
    <row r="975">
      <c r="B975" s="3"/>
      <c r="C975" s="3"/>
      <c r="D975" s="3"/>
      <c r="E975" s="3"/>
      <c r="F975" s="3"/>
      <c r="G975" s="3"/>
      <c r="H975" s="3"/>
    </row>
    <row r="976">
      <c r="B976" s="3"/>
      <c r="C976" s="3"/>
      <c r="D976" s="3"/>
      <c r="E976" s="3"/>
      <c r="F976" s="3"/>
      <c r="G976" s="3"/>
      <c r="H976" s="3"/>
    </row>
    <row r="977">
      <c r="B977" s="3"/>
      <c r="C977" s="3"/>
      <c r="D977" s="3"/>
      <c r="E977" s="3"/>
      <c r="F977" s="3"/>
      <c r="G977" s="3"/>
      <c r="H977" s="3"/>
    </row>
    <row r="978">
      <c r="B978" s="3"/>
      <c r="C978" s="3"/>
      <c r="D978" s="3"/>
      <c r="E978" s="3"/>
      <c r="F978" s="3"/>
      <c r="G978" s="3"/>
      <c r="H978" s="3"/>
    </row>
    <row r="979">
      <c r="B979" s="3"/>
      <c r="C979" s="3"/>
      <c r="D979" s="3"/>
      <c r="E979" s="3"/>
      <c r="F979" s="3"/>
      <c r="G979" s="3"/>
      <c r="H979" s="3"/>
    </row>
    <row r="980">
      <c r="B980" s="3"/>
      <c r="C980" s="3"/>
      <c r="D980" s="3"/>
      <c r="E980" s="3"/>
      <c r="F980" s="3"/>
      <c r="G980" s="3"/>
      <c r="H980" s="3"/>
    </row>
    <row r="981">
      <c r="B981" s="3"/>
      <c r="C981" s="3"/>
      <c r="D981" s="3"/>
      <c r="E981" s="3"/>
      <c r="F981" s="3"/>
      <c r="G981" s="3"/>
      <c r="H981" s="3"/>
    </row>
    <row r="982">
      <c r="B982" s="3"/>
      <c r="C982" s="3"/>
      <c r="D982" s="3"/>
      <c r="E982" s="3"/>
      <c r="F982" s="3"/>
      <c r="G982" s="3"/>
      <c r="H982" s="3"/>
    </row>
    <row r="983">
      <c r="B983" s="3"/>
      <c r="C983" s="3"/>
      <c r="D983" s="3"/>
      <c r="E983" s="3"/>
      <c r="F983" s="3"/>
      <c r="G983" s="3"/>
      <c r="H983" s="3"/>
    </row>
    <row r="984">
      <c r="B984" s="3"/>
      <c r="C984" s="3"/>
      <c r="D984" s="3"/>
      <c r="E984" s="3"/>
      <c r="F984" s="3"/>
      <c r="G984" s="3"/>
      <c r="H984" s="3"/>
    </row>
    <row r="985">
      <c r="B985" s="3"/>
      <c r="C985" s="3"/>
      <c r="D985" s="3"/>
      <c r="E985" s="3"/>
      <c r="F985" s="3"/>
      <c r="G985" s="3"/>
      <c r="H985" s="3"/>
    </row>
    <row r="986">
      <c r="B986" s="3"/>
      <c r="C986" s="3"/>
      <c r="D986" s="3"/>
      <c r="E986" s="3"/>
      <c r="F986" s="3"/>
      <c r="G986" s="3"/>
      <c r="H986" s="3"/>
    </row>
    <row r="987">
      <c r="B987" s="3"/>
      <c r="C987" s="3"/>
      <c r="D987" s="3"/>
      <c r="E987" s="3"/>
      <c r="F987" s="3"/>
      <c r="G987" s="3"/>
      <c r="H987" s="3"/>
    </row>
    <row r="988">
      <c r="B988" s="3"/>
      <c r="C988" s="3"/>
      <c r="D988" s="3"/>
      <c r="E988" s="3"/>
      <c r="F988" s="3"/>
      <c r="G988" s="3"/>
      <c r="H988" s="3"/>
    </row>
    <row r="989">
      <c r="B989" s="3"/>
      <c r="C989" s="3"/>
      <c r="D989" s="3"/>
      <c r="E989" s="3"/>
      <c r="F989" s="3"/>
      <c r="G989" s="3"/>
      <c r="H989" s="3"/>
    </row>
    <row r="990">
      <c r="B990" s="3"/>
      <c r="C990" s="3"/>
      <c r="D990" s="3"/>
      <c r="E990" s="3"/>
      <c r="F990" s="3"/>
      <c r="G990" s="3"/>
      <c r="H990" s="3"/>
    </row>
    <row r="991">
      <c r="B991" s="3"/>
      <c r="C991" s="3"/>
      <c r="D991" s="3"/>
      <c r="E991" s="3"/>
      <c r="F991" s="3"/>
      <c r="G991" s="3"/>
      <c r="H991" s="3"/>
    </row>
    <row r="992">
      <c r="B992" s="3"/>
      <c r="C992" s="3"/>
      <c r="D992" s="3"/>
      <c r="E992" s="3"/>
      <c r="F992" s="3"/>
      <c r="G992" s="3"/>
      <c r="H992" s="3"/>
    </row>
    <row r="993">
      <c r="B993" s="3"/>
      <c r="C993" s="3"/>
      <c r="D993" s="3"/>
      <c r="E993" s="3"/>
      <c r="F993" s="3"/>
      <c r="G993" s="3"/>
      <c r="H993" s="3"/>
    </row>
    <row r="994">
      <c r="B994" s="3"/>
      <c r="C994" s="3"/>
      <c r="D994" s="3"/>
      <c r="E994" s="3"/>
      <c r="F994" s="3"/>
      <c r="G994" s="3"/>
      <c r="H994" s="3"/>
    </row>
    <row r="995">
      <c r="B995" s="3"/>
      <c r="C995" s="3"/>
      <c r="D995" s="3"/>
      <c r="E995" s="3"/>
      <c r="F995" s="3"/>
      <c r="G995" s="3"/>
      <c r="H995" s="3"/>
    </row>
    <row r="996">
      <c r="B996" s="3"/>
      <c r="C996" s="3"/>
      <c r="D996" s="3"/>
      <c r="E996" s="3"/>
      <c r="F996" s="3"/>
      <c r="G996" s="3"/>
      <c r="H996" s="3"/>
    </row>
    <row r="997">
      <c r="B997" s="3"/>
      <c r="C997" s="3"/>
      <c r="D997" s="3"/>
      <c r="E997" s="3"/>
      <c r="F997" s="3"/>
      <c r="G997" s="3"/>
      <c r="H997" s="3"/>
    </row>
    <row r="998">
      <c r="B998" s="3"/>
      <c r="C998" s="3"/>
      <c r="D998" s="3"/>
      <c r="E998" s="3"/>
      <c r="F998" s="3"/>
      <c r="G998" s="3"/>
      <c r="H998" s="3"/>
    </row>
    <row r="999">
      <c r="B999" s="3"/>
      <c r="C999" s="3"/>
      <c r="D999" s="3"/>
      <c r="E999" s="3"/>
      <c r="F999" s="3"/>
      <c r="G999" s="3"/>
      <c r="H999" s="3"/>
    </row>
    <row r="1000">
      <c r="B1000" s="3"/>
      <c r="C1000" s="3"/>
      <c r="D1000" s="3"/>
      <c r="E1000" s="3"/>
      <c r="F1000" s="3"/>
      <c r="G1000" s="3"/>
      <c r="H1000" s="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O1" s="9" t="s">
        <v>0</v>
      </c>
      <c r="P1" s="9" t="s">
        <v>18</v>
      </c>
      <c r="Q1" s="9" t="s">
        <v>19</v>
      </c>
      <c r="R1" s="9" t="s">
        <v>20</v>
      </c>
      <c r="S1" s="9" t="s">
        <v>21</v>
      </c>
    </row>
    <row r="2">
      <c r="A2" s="10" t="s">
        <v>4</v>
      </c>
      <c r="B2" s="11">
        <v>-0.431646</v>
      </c>
      <c r="C2" s="12">
        <v>0.174252</v>
      </c>
      <c r="D2" s="12">
        <v>0.00148</v>
      </c>
      <c r="E2" s="12">
        <v>-0.050494</v>
      </c>
      <c r="F2" s="12">
        <v>-0.164903</v>
      </c>
      <c r="G2" s="12">
        <v>-0.131597</v>
      </c>
      <c r="H2" s="12">
        <v>0.385515</v>
      </c>
      <c r="I2" s="12">
        <v>0.116152</v>
      </c>
      <c r="J2" s="12">
        <v>0.06393</v>
      </c>
      <c r="K2" s="12">
        <v>0.75502</v>
      </c>
      <c r="L2" s="12">
        <v>0.0</v>
      </c>
      <c r="O2" s="10" t="s">
        <v>29</v>
      </c>
      <c r="P2" s="12">
        <v>-0.029882</v>
      </c>
      <c r="Q2" s="12">
        <v>-1.982014</v>
      </c>
      <c r="R2" s="12">
        <v>1.210295</v>
      </c>
      <c r="S2" s="12">
        <v>-2.212087</v>
      </c>
    </row>
    <row r="3">
      <c r="A3" s="10" t="s">
        <v>5</v>
      </c>
      <c r="B3" s="11">
        <v>-0.418496</v>
      </c>
      <c r="C3" s="12">
        <v>0.216821</v>
      </c>
      <c r="D3" s="12">
        <v>0.002425</v>
      </c>
      <c r="E3" s="12">
        <v>-0.032074</v>
      </c>
      <c r="F3" s="12">
        <v>-0.112501</v>
      </c>
      <c r="G3" s="12">
        <v>-0.184111</v>
      </c>
      <c r="H3" s="12">
        <v>0.432013</v>
      </c>
      <c r="I3" s="12">
        <v>0.145511</v>
      </c>
      <c r="J3" s="12">
        <v>0.367822</v>
      </c>
      <c r="K3" s="12">
        <v>-0.622222</v>
      </c>
      <c r="L3" s="12">
        <v>0.0</v>
      </c>
      <c r="O3" s="10" t="s">
        <v>30</v>
      </c>
      <c r="P3" s="12">
        <v>1.151113</v>
      </c>
      <c r="Q3" s="12">
        <v>1.454242</v>
      </c>
      <c r="R3" s="12">
        <v>-1.900993</v>
      </c>
      <c r="S3" s="12">
        <v>-1.349655</v>
      </c>
    </row>
    <row r="4">
      <c r="A4" s="10" t="s">
        <v>6</v>
      </c>
      <c r="B4" s="12">
        <v>0.082779</v>
      </c>
      <c r="C4" s="13">
        <v>0.444647</v>
      </c>
      <c r="D4" s="11">
        <v>-0.490926</v>
      </c>
      <c r="E4" s="12">
        <v>-0.053727</v>
      </c>
      <c r="F4" s="12">
        <v>-0.035843</v>
      </c>
      <c r="G4" s="12">
        <v>-0.129826</v>
      </c>
      <c r="H4" s="12">
        <v>-0.392391</v>
      </c>
      <c r="I4" s="12">
        <v>0.61574</v>
      </c>
      <c r="J4" s="12">
        <v>9.97E-4</v>
      </c>
      <c r="K4" s="12">
        <v>0.017163</v>
      </c>
      <c r="L4" s="12">
        <v>0.0</v>
      </c>
      <c r="O4" s="10" t="s">
        <v>31</v>
      </c>
      <c r="P4" s="12">
        <v>-2.248513</v>
      </c>
      <c r="Q4" s="12">
        <v>-1.304011</v>
      </c>
      <c r="R4" s="12">
        <v>-0.739482</v>
      </c>
      <c r="S4" s="12">
        <v>-1.853006</v>
      </c>
    </row>
    <row r="5">
      <c r="A5" s="10" t="s">
        <v>7</v>
      </c>
      <c r="B5" s="12">
        <v>0.18883</v>
      </c>
      <c r="C5" s="13">
        <v>0.407677</v>
      </c>
      <c r="D5" s="13">
        <v>0.418443</v>
      </c>
      <c r="E5" s="12">
        <v>-0.111267</v>
      </c>
      <c r="F5" s="12">
        <v>-0.09165</v>
      </c>
      <c r="G5" s="12">
        <v>0.713427</v>
      </c>
      <c r="H5" s="12">
        <v>0.165667</v>
      </c>
      <c r="I5" s="12">
        <v>0.255162</v>
      </c>
      <c r="J5" s="12">
        <v>-0.024414</v>
      </c>
      <c r="K5" s="12">
        <v>-0.011842</v>
      </c>
      <c r="L5" s="12">
        <v>0.0</v>
      </c>
      <c r="O5" s="10" t="s">
        <v>32</v>
      </c>
      <c r="P5" s="12">
        <v>1.531386</v>
      </c>
      <c r="Q5" s="12">
        <v>-2.084637</v>
      </c>
      <c r="R5" s="12">
        <v>1.660024</v>
      </c>
      <c r="S5" s="12">
        <v>-1.81904</v>
      </c>
    </row>
    <row r="6">
      <c r="A6" s="10" t="s">
        <v>8</v>
      </c>
      <c r="B6" s="13">
        <v>0.434421</v>
      </c>
      <c r="C6" s="12">
        <v>-0.155364</v>
      </c>
      <c r="D6" s="12">
        <v>-0.034428</v>
      </c>
      <c r="E6" s="12">
        <v>0.060512</v>
      </c>
      <c r="F6" s="12">
        <v>0.222347</v>
      </c>
      <c r="G6" s="12">
        <v>-3.36E-4</v>
      </c>
      <c r="H6" s="12">
        <v>0.108922</v>
      </c>
      <c r="I6" s="12">
        <v>0.107134</v>
      </c>
      <c r="J6" s="12">
        <v>0.819359</v>
      </c>
      <c r="K6" s="12">
        <v>0.195359</v>
      </c>
      <c r="L6" s="12">
        <v>0.0</v>
      </c>
      <c r="O6" s="10" t="s">
        <v>33</v>
      </c>
      <c r="P6" s="12">
        <v>3.702931</v>
      </c>
      <c r="Q6" s="12">
        <v>2.969059</v>
      </c>
      <c r="R6" s="12">
        <v>1.396435</v>
      </c>
      <c r="S6" s="12">
        <v>-1.202351</v>
      </c>
    </row>
    <row r="7">
      <c r="A7" s="10" t="s">
        <v>9</v>
      </c>
      <c r="B7" s="12">
        <v>0.173484</v>
      </c>
      <c r="C7" s="12">
        <v>0.11256</v>
      </c>
      <c r="D7" s="13">
        <v>0.713375</v>
      </c>
      <c r="E7" s="12">
        <v>-0.080913</v>
      </c>
      <c r="F7" s="12">
        <v>-0.167749</v>
      </c>
      <c r="G7" s="12">
        <v>-0.572602</v>
      </c>
      <c r="H7" s="12">
        <v>-0.230509</v>
      </c>
      <c r="I7" s="12">
        <v>0.179161</v>
      </c>
      <c r="J7" s="12">
        <v>0.013295</v>
      </c>
      <c r="K7" s="12">
        <v>0.018964</v>
      </c>
      <c r="L7" s="12">
        <v>0.0</v>
      </c>
      <c r="O7" s="10" t="s">
        <v>34</v>
      </c>
      <c r="P7" s="12">
        <v>2.277389</v>
      </c>
      <c r="Q7" s="12">
        <v>-0.960374</v>
      </c>
      <c r="R7" s="12">
        <v>-0.413496</v>
      </c>
      <c r="S7" s="12">
        <v>-1.143036</v>
      </c>
    </row>
    <row r="8">
      <c r="A8" s="10" t="s">
        <v>10</v>
      </c>
      <c r="B8" s="13">
        <v>0.412434</v>
      </c>
      <c r="C8" s="12">
        <v>-0.158855</v>
      </c>
      <c r="D8" s="12">
        <v>-0.082383</v>
      </c>
      <c r="E8" s="12">
        <v>0.012706</v>
      </c>
      <c r="F8" s="12">
        <v>0.224807</v>
      </c>
      <c r="G8" s="12">
        <v>-0.225496</v>
      </c>
      <c r="H8" s="12">
        <v>0.617598</v>
      </c>
      <c r="I8" s="12">
        <v>0.35591</v>
      </c>
      <c r="J8" s="12">
        <v>-0.430922</v>
      </c>
      <c r="K8" s="12">
        <v>-0.050352</v>
      </c>
      <c r="L8" s="12">
        <v>0.0</v>
      </c>
      <c r="O8" s="10" t="s">
        <v>35</v>
      </c>
      <c r="P8" s="12">
        <v>0.700981</v>
      </c>
      <c r="Q8" s="12">
        <v>2.495844</v>
      </c>
      <c r="R8" s="12">
        <v>0.499739</v>
      </c>
      <c r="S8" s="12">
        <v>-1.241783</v>
      </c>
    </row>
    <row r="9">
      <c r="A9" s="10" t="s">
        <v>11</v>
      </c>
      <c r="B9" s="12">
        <v>-0.086295</v>
      </c>
      <c r="C9" s="12">
        <v>-0.053273</v>
      </c>
      <c r="D9" s="12">
        <v>0.098109</v>
      </c>
      <c r="E9" s="13">
        <v>0.8805</v>
      </c>
      <c r="F9" s="12">
        <v>-0.088904</v>
      </c>
      <c r="G9" s="12">
        <v>0.059937</v>
      </c>
      <c r="H9" s="12">
        <v>-0.032719</v>
      </c>
      <c r="I9" s="12">
        <v>0.19172</v>
      </c>
      <c r="J9" s="12">
        <v>-0.022245</v>
      </c>
      <c r="K9" s="12">
        <v>0.001778</v>
      </c>
      <c r="L9" s="12">
        <v>0.393685</v>
      </c>
      <c r="O9" s="10" t="s">
        <v>36</v>
      </c>
      <c r="P9" s="12">
        <v>0.50463</v>
      </c>
      <c r="Q9" s="12">
        <v>-1.069919</v>
      </c>
      <c r="R9" s="12">
        <v>-0.139931</v>
      </c>
      <c r="S9" s="12">
        <v>-1.506933</v>
      </c>
    </row>
    <row r="10">
      <c r="A10" s="10" t="s">
        <v>12</v>
      </c>
      <c r="B10" s="12">
        <v>0.230461</v>
      </c>
      <c r="C10" s="13">
        <v>0.504486</v>
      </c>
      <c r="D10" s="12">
        <v>-0.102032</v>
      </c>
      <c r="E10" s="12">
        <v>-0.104626</v>
      </c>
      <c r="F10" s="12">
        <v>0.112286</v>
      </c>
      <c r="G10" s="12">
        <v>-0.159216</v>
      </c>
      <c r="H10" s="12">
        <v>0.11138</v>
      </c>
      <c r="I10" s="12">
        <v>-0.442293</v>
      </c>
      <c r="J10" s="12">
        <v>-0.014829</v>
      </c>
      <c r="K10" s="12">
        <v>0.017728</v>
      </c>
      <c r="L10" s="12">
        <v>0.651539</v>
      </c>
      <c r="O10" s="10" t="s">
        <v>37</v>
      </c>
      <c r="P10" s="12">
        <v>-3.965077</v>
      </c>
      <c r="Q10" s="12">
        <v>0.385972</v>
      </c>
      <c r="R10" s="12">
        <v>1.582412</v>
      </c>
      <c r="S10" s="12">
        <v>-1.87757</v>
      </c>
    </row>
    <row r="11">
      <c r="A11" s="10" t="s">
        <v>13</v>
      </c>
      <c r="B11" s="12">
        <v>-0.179164</v>
      </c>
      <c r="C11" s="11">
        <v>-0.474535</v>
      </c>
      <c r="D11" s="12">
        <v>0.042953</v>
      </c>
      <c r="E11" s="12">
        <v>-0.429431</v>
      </c>
      <c r="F11" s="12">
        <v>-0.058844</v>
      </c>
      <c r="G11" s="12">
        <v>0.123583</v>
      </c>
      <c r="H11" s="12">
        <v>-0.092044</v>
      </c>
      <c r="I11" s="12">
        <v>0.327996</v>
      </c>
      <c r="J11" s="12">
        <v>0.028404</v>
      </c>
      <c r="K11" s="12">
        <v>-0.018891</v>
      </c>
      <c r="L11" s="12">
        <v>0.648466</v>
      </c>
      <c r="O11" s="10" t="s">
        <v>38</v>
      </c>
      <c r="P11" s="12">
        <v>-0.567984</v>
      </c>
      <c r="Q11" s="12">
        <v>-3.149106</v>
      </c>
      <c r="R11" s="12">
        <v>-0.569493</v>
      </c>
      <c r="S11" s="12">
        <v>-1.686598</v>
      </c>
    </row>
    <row r="12">
      <c r="A12" s="10" t="s">
        <v>14</v>
      </c>
      <c r="B12" s="11">
        <v>-0.338312</v>
      </c>
      <c r="C12" s="12">
        <v>0.118924</v>
      </c>
      <c r="D12" s="12">
        <v>0.212442</v>
      </c>
      <c r="E12" s="12">
        <v>0.012105</v>
      </c>
      <c r="F12" s="12">
        <v>0.893519</v>
      </c>
      <c r="G12" s="12">
        <v>0.00393</v>
      </c>
      <c r="H12" s="12">
        <v>-0.122286</v>
      </c>
      <c r="I12" s="12">
        <v>0.104318</v>
      </c>
      <c r="J12" s="12">
        <v>-0.035811</v>
      </c>
      <c r="K12" s="12">
        <v>0.024794</v>
      </c>
      <c r="L12" s="12">
        <v>0.0</v>
      </c>
      <c r="O12" s="10" t="s">
        <v>39</v>
      </c>
      <c r="P12" s="12">
        <v>1.84121</v>
      </c>
      <c r="Q12" s="12">
        <v>2.054863</v>
      </c>
      <c r="R12" s="12">
        <v>0.101545</v>
      </c>
      <c r="S12" s="12">
        <v>-1.035701</v>
      </c>
    </row>
    <row r="13">
      <c r="O13" s="10" t="s">
        <v>40</v>
      </c>
      <c r="P13" s="12">
        <v>-0.221382</v>
      </c>
      <c r="Q13" s="12">
        <v>-2.085942</v>
      </c>
      <c r="R13" s="12">
        <v>-1.03283</v>
      </c>
      <c r="S13" s="12">
        <v>-1.417526</v>
      </c>
    </row>
    <row r="14">
      <c r="O14" s="10" t="s">
        <v>41</v>
      </c>
      <c r="P14" s="12">
        <v>-0.647055</v>
      </c>
      <c r="Q14" s="12">
        <v>2.361884</v>
      </c>
      <c r="R14" s="12">
        <v>-1.440333</v>
      </c>
      <c r="S14" s="12">
        <v>-0.85024</v>
      </c>
    </row>
    <row r="15">
      <c r="O15" s="10" t="s">
        <v>42</v>
      </c>
      <c r="P15" s="12">
        <v>-0.111591</v>
      </c>
      <c r="Q15" s="12">
        <v>-0.862331</v>
      </c>
      <c r="R15" s="12">
        <v>-0.544669</v>
      </c>
      <c r="S15" s="12">
        <v>-1.35983</v>
      </c>
    </row>
    <row r="16">
      <c r="A16" s="9" t="s">
        <v>17</v>
      </c>
      <c r="B16" s="9" t="s">
        <v>4</v>
      </c>
      <c r="C16" s="9" t="s">
        <v>5</v>
      </c>
      <c r="D16" s="9" t="s">
        <v>6</v>
      </c>
      <c r="E16" s="9" t="s">
        <v>7</v>
      </c>
      <c r="F16" s="9" t="s">
        <v>8</v>
      </c>
      <c r="G16" s="9" t="s">
        <v>9</v>
      </c>
      <c r="H16" s="9" t="s">
        <v>10</v>
      </c>
      <c r="I16" s="9" t="s">
        <v>11</v>
      </c>
      <c r="J16" s="9" t="s">
        <v>12</v>
      </c>
      <c r="K16" s="9" t="s">
        <v>13</v>
      </c>
      <c r="L16" s="9" t="s">
        <v>14</v>
      </c>
      <c r="O16" s="10" t="s">
        <v>43</v>
      </c>
      <c r="P16" s="12">
        <v>1.946246</v>
      </c>
      <c r="Q16" s="12">
        <v>-2.237572</v>
      </c>
      <c r="R16" s="12">
        <v>-1.153326</v>
      </c>
      <c r="S16" s="12">
        <v>-0.798264</v>
      </c>
    </row>
    <row r="17">
      <c r="A17" s="10" t="s">
        <v>4</v>
      </c>
      <c r="B17" s="12">
        <v>1.0</v>
      </c>
      <c r="C17" s="12">
        <v>0.9846</v>
      </c>
      <c r="D17" s="12">
        <v>0.0329</v>
      </c>
      <c r="E17" s="12">
        <v>-0.1759</v>
      </c>
      <c r="F17" s="12">
        <v>-0.9481</v>
      </c>
      <c r="G17" s="12">
        <v>-0.2731</v>
      </c>
      <c r="H17" s="12">
        <v>-0.86</v>
      </c>
      <c r="I17" s="12">
        <v>0.1004</v>
      </c>
      <c r="J17" s="12">
        <v>-0.2231</v>
      </c>
      <c r="K17" s="12">
        <v>0.1632</v>
      </c>
      <c r="L17" s="12">
        <v>0.6577</v>
      </c>
      <c r="O17" s="10" t="s">
        <v>44</v>
      </c>
      <c r="P17" s="12">
        <v>2.301094</v>
      </c>
      <c r="Q17" s="12">
        <v>-1.15956</v>
      </c>
      <c r="R17" s="12">
        <v>1.892204</v>
      </c>
      <c r="S17" s="12">
        <v>-1.225014</v>
      </c>
    </row>
    <row r="18">
      <c r="A18" s="10" t="s">
        <v>5</v>
      </c>
      <c r="B18" s="12">
        <v>0.9846</v>
      </c>
      <c r="C18" s="12">
        <v>1.0</v>
      </c>
      <c r="D18" s="12">
        <v>0.0865</v>
      </c>
      <c r="E18" s="12">
        <v>-0.1274</v>
      </c>
      <c r="F18" s="12">
        <v>-0.9236</v>
      </c>
      <c r="G18" s="12">
        <v>-0.2496</v>
      </c>
      <c r="H18" s="12">
        <v>-0.8426</v>
      </c>
      <c r="I18" s="12">
        <v>0.1063</v>
      </c>
      <c r="J18" s="12">
        <v>-0.1511</v>
      </c>
      <c r="K18" s="12">
        <v>0.0873</v>
      </c>
      <c r="L18" s="12">
        <v>0.6711</v>
      </c>
      <c r="O18" s="10" t="s">
        <v>45</v>
      </c>
      <c r="P18" s="12">
        <v>2.986146</v>
      </c>
      <c r="Q18" s="12">
        <v>0.942034</v>
      </c>
      <c r="R18" s="12">
        <v>-0.682161</v>
      </c>
      <c r="S18" s="12">
        <v>-0.548307</v>
      </c>
    </row>
    <row r="19">
      <c r="A19" s="10" t="s">
        <v>6</v>
      </c>
      <c r="B19" s="12">
        <v>0.0329</v>
      </c>
      <c r="C19" s="12">
        <v>0.0865</v>
      </c>
      <c r="D19" s="12">
        <v>1.0</v>
      </c>
      <c r="E19" s="12">
        <v>0.2682</v>
      </c>
      <c r="F19" s="12">
        <v>3.0E-4</v>
      </c>
      <c r="G19" s="12">
        <v>-0.2377</v>
      </c>
      <c r="H19" s="12">
        <v>0.0162</v>
      </c>
      <c r="I19" s="12">
        <v>-0.2009</v>
      </c>
      <c r="J19" s="12">
        <v>0.7181</v>
      </c>
      <c r="K19" s="12">
        <v>-0.5996</v>
      </c>
      <c r="L19" s="12">
        <v>-0.1322</v>
      </c>
      <c r="O19" s="10" t="s">
        <v>46</v>
      </c>
      <c r="P19" s="12">
        <v>2.107626</v>
      </c>
      <c r="Q19" s="12">
        <v>-0.925317</v>
      </c>
      <c r="R19" s="12">
        <v>-1.687524</v>
      </c>
      <c r="S19" s="12">
        <v>-0.522484</v>
      </c>
    </row>
    <row r="20">
      <c r="A20" s="10" t="s">
        <v>7</v>
      </c>
      <c r="B20" s="12">
        <v>-0.1759</v>
      </c>
      <c r="C20" s="12">
        <v>-0.1274</v>
      </c>
      <c r="D20" s="12">
        <v>0.2682</v>
      </c>
      <c r="E20" s="12">
        <v>1.0</v>
      </c>
      <c r="F20" s="12">
        <v>0.1795</v>
      </c>
      <c r="G20" s="12">
        <v>0.6298</v>
      </c>
      <c r="H20" s="12">
        <v>0.128</v>
      </c>
      <c r="I20" s="12">
        <v>-0.1741</v>
      </c>
      <c r="J20" s="12">
        <v>0.6631</v>
      </c>
      <c r="K20" s="12">
        <v>-0.5606</v>
      </c>
      <c r="L20" s="12">
        <v>-0.078</v>
      </c>
      <c r="O20" s="10" t="s">
        <v>47</v>
      </c>
      <c r="P20" s="12">
        <v>2.640926</v>
      </c>
      <c r="Q20" s="12">
        <v>-0.148695</v>
      </c>
      <c r="R20" s="12">
        <v>0.553482</v>
      </c>
      <c r="S20" s="12">
        <v>-0.770313</v>
      </c>
    </row>
    <row r="21">
      <c r="A21" s="10" t="s">
        <v>8</v>
      </c>
      <c r="B21" s="12">
        <v>-0.9481</v>
      </c>
      <c r="C21" s="12">
        <v>-0.9236</v>
      </c>
      <c r="D21" s="12">
        <v>3.0E-4</v>
      </c>
      <c r="E21" s="12">
        <v>0.1795</v>
      </c>
      <c r="F21" s="12">
        <v>1.0</v>
      </c>
      <c r="G21" s="12">
        <v>0.2434</v>
      </c>
      <c r="H21" s="12">
        <v>0.9281</v>
      </c>
      <c r="I21" s="12">
        <v>-0.0993</v>
      </c>
      <c r="J21" s="12">
        <v>0.2571</v>
      </c>
      <c r="K21" s="12">
        <v>-0.198</v>
      </c>
      <c r="L21" s="12">
        <v>-0.6516</v>
      </c>
      <c r="O21" s="10" t="s">
        <v>48</v>
      </c>
      <c r="P21" s="12">
        <v>3.548654</v>
      </c>
      <c r="Q21" s="12">
        <v>1.543694</v>
      </c>
      <c r="R21" s="12">
        <v>-0.572005</v>
      </c>
      <c r="S21" s="12">
        <v>-0.622997</v>
      </c>
    </row>
    <row r="22">
      <c r="A22" s="10" t="s">
        <v>9</v>
      </c>
      <c r="B22" s="12">
        <v>-0.2731</v>
      </c>
      <c r="C22" s="12">
        <v>-0.2496</v>
      </c>
      <c r="D22" s="12">
        <v>-0.2377</v>
      </c>
      <c r="E22" s="12">
        <v>0.6298</v>
      </c>
      <c r="F22" s="12">
        <v>0.2434</v>
      </c>
      <c r="G22" s="12">
        <v>1.0</v>
      </c>
      <c r="H22" s="12">
        <v>0.1916</v>
      </c>
      <c r="I22" s="12">
        <v>-0.0656</v>
      </c>
      <c r="J22" s="12">
        <v>0.2375</v>
      </c>
      <c r="K22" s="12">
        <v>-0.1988</v>
      </c>
      <c r="L22" s="12">
        <v>-0.0826</v>
      </c>
      <c r="O22" s="10" t="s">
        <v>49</v>
      </c>
      <c r="P22" s="12">
        <v>-3.404155</v>
      </c>
      <c r="Q22" s="12">
        <v>2.60182</v>
      </c>
      <c r="R22" s="12">
        <v>0.926241</v>
      </c>
      <c r="S22" s="12">
        <v>-1.122122</v>
      </c>
    </row>
    <row r="23">
      <c r="A23" s="10" t="s">
        <v>10</v>
      </c>
      <c r="B23" s="12">
        <v>-0.86</v>
      </c>
      <c r="C23" s="12">
        <v>-0.8426</v>
      </c>
      <c r="D23" s="12">
        <v>0.0162</v>
      </c>
      <c r="E23" s="12">
        <v>0.128</v>
      </c>
      <c r="F23" s="12">
        <v>0.9281</v>
      </c>
      <c r="G23" s="12">
        <v>0.1916</v>
      </c>
      <c r="H23" s="12">
        <v>1.0</v>
      </c>
      <c r="I23" s="12">
        <v>-0.1449</v>
      </c>
      <c r="J23" s="12">
        <v>0.2437</v>
      </c>
      <c r="K23" s="12">
        <v>-0.1569</v>
      </c>
      <c r="L23" s="12">
        <v>-0.6386</v>
      </c>
      <c r="O23" s="10" t="s">
        <v>50</v>
      </c>
      <c r="P23" s="12">
        <v>-0.099535</v>
      </c>
      <c r="Q23" s="12">
        <v>2.23189</v>
      </c>
      <c r="R23" s="12">
        <v>-0.348952</v>
      </c>
      <c r="S23" s="12">
        <v>-0.639835</v>
      </c>
    </row>
    <row r="24">
      <c r="A24" s="10" t="s">
        <v>11</v>
      </c>
      <c r="B24" s="12">
        <v>0.1004</v>
      </c>
      <c r="C24" s="12">
        <v>0.1063</v>
      </c>
      <c r="D24" s="12">
        <v>-0.2009</v>
      </c>
      <c r="E24" s="12">
        <v>-0.1741</v>
      </c>
      <c r="F24" s="12">
        <v>-0.0993</v>
      </c>
      <c r="G24" s="12">
        <v>-0.0656</v>
      </c>
      <c r="H24" s="12">
        <v>-0.1449</v>
      </c>
      <c r="I24" s="12">
        <v>1.0</v>
      </c>
      <c r="J24" s="12">
        <v>-0.3099</v>
      </c>
      <c r="K24" s="12">
        <v>-0.2957</v>
      </c>
      <c r="L24" s="12">
        <v>0.1286</v>
      </c>
      <c r="O24" s="10" t="s">
        <v>51</v>
      </c>
      <c r="P24" s="12">
        <v>-4.01079</v>
      </c>
      <c r="Q24" s="12">
        <v>1.079353</v>
      </c>
      <c r="R24" s="12">
        <v>0.718838</v>
      </c>
      <c r="S24" s="12">
        <v>-1.102074</v>
      </c>
    </row>
    <row r="25">
      <c r="A25" s="10" t="s">
        <v>12</v>
      </c>
      <c r="B25" s="12">
        <v>-0.2231</v>
      </c>
      <c r="C25" s="12">
        <v>-0.1511</v>
      </c>
      <c r="D25" s="12">
        <v>0.7181</v>
      </c>
      <c r="E25" s="12">
        <v>0.6631</v>
      </c>
      <c r="F25" s="12">
        <v>0.2571</v>
      </c>
      <c r="G25" s="12">
        <v>0.2375</v>
      </c>
      <c r="H25" s="12">
        <v>0.2437</v>
      </c>
      <c r="I25" s="12">
        <v>-0.3099</v>
      </c>
      <c r="J25" s="12">
        <v>1.0</v>
      </c>
      <c r="K25" s="12">
        <v>-0.8166</v>
      </c>
      <c r="L25" s="12">
        <v>-0.1972</v>
      </c>
      <c r="O25" s="10" t="s">
        <v>52</v>
      </c>
      <c r="P25" s="12">
        <v>-1.835452</v>
      </c>
      <c r="Q25" s="12">
        <v>-0.026726</v>
      </c>
      <c r="R25" s="12">
        <v>-0.166718</v>
      </c>
      <c r="S25" s="12">
        <v>-1.097605</v>
      </c>
    </row>
    <row r="26">
      <c r="A26" s="10" t="s">
        <v>13</v>
      </c>
      <c r="B26" s="12">
        <v>0.1632</v>
      </c>
      <c r="C26" s="12">
        <v>0.0873</v>
      </c>
      <c r="D26" s="12">
        <v>-0.5996</v>
      </c>
      <c r="E26" s="12">
        <v>-0.5606</v>
      </c>
      <c r="F26" s="12">
        <v>-0.198</v>
      </c>
      <c r="G26" s="12">
        <v>-0.1988</v>
      </c>
      <c r="H26" s="12">
        <v>-0.1569</v>
      </c>
      <c r="I26" s="12">
        <v>-0.2957</v>
      </c>
      <c r="J26" s="12">
        <v>-0.8166</v>
      </c>
      <c r="K26" s="12">
        <v>1.0</v>
      </c>
      <c r="L26" s="12">
        <v>0.1201</v>
      </c>
      <c r="O26" s="10" t="s">
        <v>53</v>
      </c>
      <c r="P26" s="12">
        <v>3.141278</v>
      </c>
      <c r="Q26" s="12">
        <v>0.513822</v>
      </c>
      <c r="R26" s="12">
        <v>1.565513</v>
      </c>
      <c r="S26" s="12">
        <v>-0.353916</v>
      </c>
    </row>
    <row r="27">
      <c r="A27" s="10" t="s">
        <v>14</v>
      </c>
      <c r="B27" s="12">
        <v>0.6577</v>
      </c>
      <c r="C27" s="12">
        <v>0.6711</v>
      </c>
      <c r="D27" s="12">
        <v>-0.1322</v>
      </c>
      <c r="E27" s="12">
        <v>-0.078</v>
      </c>
      <c r="F27" s="12">
        <v>-0.6516</v>
      </c>
      <c r="G27" s="12">
        <v>-0.0826</v>
      </c>
      <c r="H27" s="12">
        <v>-0.6386</v>
      </c>
      <c r="I27" s="12">
        <v>0.1286</v>
      </c>
      <c r="J27" s="12">
        <v>-0.1972</v>
      </c>
      <c r="K27" s="12">
        <v>0.1201</v>
      </c>
      <c r="L27" s="12">
        <v>1.0</v>
      </c>
      <c r="O27" s="10" t="s">
        <v>54</v>
      </c>
      <c r="P27" s="12">
        <v>1.865396</v>
      </c>
      <c r="Q27" s="12">
        <v>-0.660069</v>
      </c>
      <c r="R27" s="12">
        <v>1.019838</v>
      </c>
      <c r="S27" s="12">
        <v>-0.812616</v>
      </c>
    </row>
    <row r="28">
      <c r="O28" s="10" t="s">
        <v>55</v>
      </c>
      <c r="P28" s="12">
        <v>2.756978</v>
      </c>
      <c r="Q28" s="12">
        <v>0.594851</v>
      </c>
      <c r="R28" s="12">
        <v>-0.563821</v>
      </c>
      <c r="S28" s="12">
        <v>-0.24717</v>
      </c>
    </row>
    <row r="29">
      <c r="O29" s="10" t="s">
        <v>56</v>
      </c>
      <c r="P29" s="12">
        <v>1.230347</v>
      </c>
      <c r="Q29" s="12">
        <v>1.598237</v>
      </c>
      <c r="R29" s="12">
        <v>-0.564467</v>
      </c>
      <c r="S29" s="12">
        <v>-0.292127</v>
      </c>
    </row>
    <row r="30">
      <c r="O30" s="10" t="s">
        <v>57</v>
      </c>
      <c r="P30" s="12">
        <v>-1.567259</v>
      </c>
      <c r="Q30" s="12">
        <v>1.935188</v>
      </c>
      <c r="R30" s="12">
        <v>1.460019</v>
      </c>
      <c r="S30" s="12">
        <v>-0.486791</v>
      </c>
    </row>
    <row r="31">
      <c r="O31" s="10" t="s">
        <v>58</v>
      </c>
      <c r="P31" s="12">
        <v>0.365509</v>
      </c>
      <c r="Q31" s="12">
        <v>-2.156261</v>
      </c>
      <c r="R31" s="12">
        <v>-1.101039</v>
      </c>
      <c r="S31" s="12">
        <v>-0.566365</v>
      </c>
    </row>
    <row r="32">
      <c r="O32" s="10" t="s">
        <v>59</v>
      </c>
      <c r="P32" s="12">
        <v>-0.576031</v>
      </c>
      <c r="Q32" s="12">
        <v>0.303547</v>
      </c>
      <c r="R32" s="12">
        <v>-0.375609</v>
      </c>
      <c r="S32" s="12">
        <v>-0.41138</v>
      </c>
    </row>
    <row r="33">
      <c r="O33" s="10" t="s">
        <v>60</v>
      </c>
      <c r="P33" s="12">
        <v>-2.518893</v>
      </c>
      <c r="Q33" s="12">
        <v>-1.805329</v>
      </c>
      <c r="R33" s="12">
        <v>-0.432883</v>
      </c>
      <c r="S33" s="12">
        <v>-0.839493</v>
      </c>
    </row>
    <row r="34">
      <c r="O34" s="10" t="s">
        <v>61</v>
      </c>
      <c r="P34" s="12">
        <v>1.753039</v>
      </c>
      <c r="Q34" s="12">
        <v>1.234937</v>
      </c>
      <c r="R34" s="12">
        <v>-1.802715</v>
      </c>
      <c r="S34" s="12">
        <v>-0.004998</v>
      </c>
    </row>
    <row r="35">
      <c r="O35" s="10" t="s">
        <v>62</v>
      </c>
      <c r="P35" s="12">
        <v>-4.796565</v>
      </c>
      <c r="Q35" s="12">
        <v>-0.885267</v>
      </c>
      <c r="R35" s="12">
        <v>0.179311</v>
      </c>
      <c r="S35" s="12">
        <v>-0.918648</v>
      </c>
    </row>
    <row r="36">
      <c r="O36" s="10" t="s">
        <v>63</v>
      </c>
      <c r="P36" s="12">
        <v>1.210777</v>
      </c>
      <c r="Q36" s="12">
        <v>0.881161</v>
      </c>
      <c r="R36" s="12">
        <v>-0.046536</v>
      </c>
      <c r="S36" s="12">
        <v>-0.228605</v>
      </c>
    </row>
    <row r="37">
      <c r="O37" s="10" t="s">
        <v>64</v>
      </c>
      <c r="P37" s="12">
        <v>2.691724</v>
      </c>
      <c r="Q37" s="12">
        <v>1.108066</v>
      </c>
      <c r="R37" s="12">
        <v>2.268241</v>
      </c>
      <c r="S37" s="12">
        <v>-0.242646</v>
      </c>
    </row>
    <row r="38">
      <c r="O38" s="10" t="s">
        <v>65</v>
      </c>
      <c r="P38" s="12">
        <v>-3.784413</v>
      </c>
      <c r="Q38" s="12">
        <v>-1.331487</v>
      </c>
      <c r="R38" s="12">
        <v>0.101952</v>
      </c>
      <c r="S38" s="12">
        <v>-0.804481</v>
      </c>
    </row>
    <row r="39">
      <c r="O39" s="10" t="s">
        <v>66</v>
      </c>
      <c r="P39" s="12">
        <v>-1.231558</v>
      </c>
      <c r="Q39" s="12">
        <v>-2.563275</v>
      </c>
      <c r="R39" s="12">
        <v>-0.522477</v>
      </c>
      <c r="S39" s="12">
        <v>-0.700737</v>
      </c>
    </row>
    <row r="40">
      <c r="O40" s="10" t="s">
        <v>67</v>
      </c>
      <c r="P40" s="12">
        <v>0.242924</v>
      </c>
      <c r="Q40" s="12">
        <v>3.039441</v>
      </c>
      <c r="R40" s="12">
        <v>-3.069406</v>
      </c>
      <c r="S40" s="12">
        <v>-0.220009</v>
      </c>
    </row>
    <row r="41">
      <c r="O41" s="10" t="s">
        <v>68</v>
      </c>
      <c r="P41" s="12">
        <v>-0.918319</v>
      </c>
      <c r="Q41" s="12">
        <v>-1.084774</v>
      </c>
      <c r="R41" s="12">
        <v>1.37156</v>
      </c>
      <c r="S41" s="12">
        <v>-0.752891</v>
      </c>
    </row>
    <row r="42">
      <c r="O42" s="10" t="s">
        <v>69</v>
      </c>
      <c r="P42" s="12">
        <v>1.698537</v>
      </c>
      <c r="Q42" s="12">
        <v>-1.167071</v>
      </c>
      <c r="R42" s="12">
        <v>-1.461507</v>
      </c>
      <c r="S42" s="12">
        <v>0.079959</v>
      </c>
    </row>
    <row r="43">
      <c r="O43" s="10" t="s">
        <v>70</v>
      </c>
      <c r="P43" s="12">
        <v>1.175133</v>
      </c>
      <c r="Q43" s="12">
        <v>0.761261</v>
      </c>
      <c r="R43" s="12">
        <v>-2.154543</v>
      </c>
      <c r="S43" s="12">
        <v>0.243878</v>
      </c>
    </row>
    <row r="44">
      <c r="O44" s="10" t="s">
        <v>71</v>
      </c>
      <c r="P44" s="12">
        <v>2.139748</v>
      </c>
      <c r="Q44" s="12">
        <v>-1.595626</v>
      </c>
      <c r="R44" s="12">
        <v>-1.448064</v>
      </c>
      <c r="S44" s="12">
        <v>0.095544</v>
      </c>
    </row>
    <row r="45">
      <c r="O45" s="10" t="s">
        <v>72</v>
      </c>
      <c r="P45" s="12">
        <v>-3.900308</v>
      </c>
      <c r="Q45" s="12">
        <v>-1.0051</v>
      </c>
      <c r="R45" s="12">
        <v>0.065218</v>
      </c>
      <c r="S45" s="12">
        <v>-0.644048</v>
      </c>
    </row>
    <row r="46">
      <c r="O46" s="10" t="s">
        <v>73</v>
      </c>
      <c r="P46" s="12">
        <v>0.532086</v>
      </c>
      <c r="Q46" s="12">
        <v>2.004201</v>
      </c>
      <c r="R46" s="12">
        <v>-0.865001</v>
      </c>
      <c r="S46" s="12">
        <v>-0.094119</v>
      </c>
    </row>
    <row r="47">
      <c r="O47" s="10" t="s">
        <v>74</v>
      </c>
      <c r="P47" s="12">
        <v>2.841892</v>
      </c>
      <c r="Q47" s="12">
        <v>-0.160543</v>
      </c>
      <c r="R47" s="12">
        <v>-0.149439</v>
      </c>
      <c r="S47" s="12">
        <v>-0.028579</v>
      </c>
    </row>
    <row r="48">
      <c r="O48" s="10" t="s">
        <v>75</v>
      </c>
      <c r="P48" s="12">
        <v>-0.609726</v>
      </c>
      <c r="Q48" s="12">
        <v>1.478649</v>
      </c>
      <c r="R48" s="12">
        <v>-2.01352</v>
      </c>
      <c r="S48" s="12">
        <v>0.145522</v>
      </c>
    </row>
    <row r="49">
      <c r="O49" s="10" t="s">
        <v>76</v>
      </c>
      <c r="P49" s="12">
        <v>-1.377403</v>
      </c>
      <c r="Q49" s="12">
        <v>0.595372</v>
      </c>
      <c r="R49" s="12">
        <v>-0.287297</v>
      </c>
      <c r="S49" s="12">
        <v>-0.272049</v>
      </c>
    </row>
    <row r="50">
      <c r="O50" s="10" t="s">
        <v>77</v>
      </c>
      <c r="P50" s="12">
        <v>1.636795</v>
      </c>
      <c r="Q50" s="12">
        <v>-0.503278</v>
      </c>
      <c r="R50" s="12">
        <v>-0.105625</v>
      </c>
      <c r="S50" s="12">
        <v>0.119216</v>
      </c>
    </row>
    <row r="51">
      <c r="O51" s="10" t="s">
        <v>78</v>
      </c>
      <c r="P51" s="12">
        <v>1.824832</v>
      </c>
      <c r="Q51" s="12">
        <v>0.410756</v>
      </c>
      <c r="R51" s="12">
        <v>-0.238376</v>
      </c>
      <c r="S51" s="12">
        <v>-0.034724</v>
      </c>
    </row>
    <row r="52">
      <c r="O52" s="10" t="s">
        <v>79</v>
      </c>
      <c r="P52" s="12">
        <v>1.942325</v>
      </c>
      <c r="Q52" s="12">
        <v>-3.513337</v>
      </c>
      <c r="R52" s="12">
        <v>-0.786881</v>
      </c>
      <c r="S52" s="12">
        <v>-0.132979</v>
      </c>
    </row>
    <row r="53">
      <c r="O53" s="10" t="s">
        <v>80</v>
      </c>
      <c r="P53" s="12">
        <v>-0.595862</v>
      </c>
      <c r="Q53" s="12">
        <v>-2.057734</v>
      </c>
      <c r="R53" s="12">
        <v>-0.611272</v>
      </c>
      <c r="S53" s="12">
        <v>-0.270475</v>
      </c>
    </row>
    <row r="54">
      <c r="O54" s="10" t="s">
        <v>81</v>
      </c>
      <c r="P54" s="12">
        <v>0.98213</v>
      </c>
      <c r="Q54" s="12">
        <v>-1.866567</v>
      </c>
      <c r="R54" s="12">
        <v>0.826822</v>
      </c>
      <c r="S54" s="12">
        <v>-0.396705</v>
      </c>
    </row>
    <row r="55">
      <c r="O55" s="10" t="s">
        <v>82</v>
      </c>
      <c r="P55" s="12">
        <v>-3.937692</v>
      </c>
      <c r="Q55" s="12">
        <v>-0.093207</v>
      </c>
      <c r="R55" s="12">
        <v>2.675572</v>
      </c>
      <c r="S55" s="12">
        <v>-0.884403</v>
      </c>
    </row>
    <row r="56">
      <c r="O56" s="10" t="s">
        <v>83</v>
      </c>
      <c r="P56" s="12">
        <v>4.061161</v>
      </c>
      <c r="Q56" s="12">
        <v>-0.102548</v>
      </c>
      <c r="R56" s="12">
        <v>3.753856</v>
      </c>
      <c r="S56" s="12">
        <v>-0.087925</v>
      </c>
    </row>
    <row r="57">
      <c r="O57" s="10" t="s">
        <v>84</v>
      </c>
      <c r="P57" s="12">
        <v>-0.238619</v>
      </c>
      <c r="Q57" s="12">
        <v>1.634213</v>
      </c>
      <c r="R57" s="12">
        <v>1.531264</v>
      </c>
      <c r="S57" s="12">
        <v>-0.361534</v>
      </c>
    </row>
    <row r="58">
      <c r="O58" s="10" t="s">
        <v>85</v>
      </c>
      <c r="P58" s="12">
        <v>-0.790008</v>
      </c>
      <c r="Q58" s="12">
        <v>-2.461522</v>
      </c>
      <c r="R58" s="12">
        <v>-0.516894</v>
      </c>
      <c r="S58" s="12">
        <v>-0.326373</v>
      </c>
    </row>
    <row r="59">
      <c r="O59" s="10" t="s">
        <v>86</v>
      </c>
      <c r="P59" s="12">
        <v>-0.165496</v>
      </c>
      <c r="Q59" s="12">
        <v>1.872802</v>
      </c>
      <c r="R59" s="12">
        <v>-1.509656</v>
      </c>
      <c r="S59" s="12">
        <v>0.130428</v>
      </c>
    </row>
    <row r="60">
      <c r="O60" s="10" t="s">
        <v>87</v>
      </c>
      <c r="P60" s="12">
        <v>1.26129</v>
      </c>
      <c r="Q60" s="12">
        <v>-1.089559</v>
      </c>
      <c r="R60" s="12">
        <v>0.128506</v>
      </c>
      <c r="S60" s="12">
        <v>-0.04994</v>
      </c>
    </row>
    <row r="61">
      <c r="O61" s="10" t="s">
        <v>88</v>
      </c>
      <c r="P61" s="12">
        <v>1.370743</v>
      </c>
      <c r="Q61" s="12">
        <v>0.042325</v>
      </c>
      <c r="R61" s="12">
        <v>1.887498</v>
      </c>
      <c r="S61" s="12">
        <v>-0.16357</v>
      </c>
    </row>
    <row r="62">
      <c r="O62" s="10" t="s">
        <v>89</v>
      </c>
      <c r="P62" s="12">
        <v>-3.144175</v>
      </c>
      <c r="Q62" s="12">
        <v>2.809264</v>
      </c>
      <c r="R62" s="12">
        <v>1.963498</v>
      </c>
      <c r="S62" s="12">
        <v>-0.455328</v>
      </c>
    </row>
    <row r="63">
      <c r="O63" s="10" t="s">
        <v>90</v>
      </c>
      <c r="P63" s="12">
        <v>0.877325</v>
      </c>
      <c r="Q63" s="12">
        <v>1.305289</v>
      </c>
      <c r="R63" s="12">
        <v>-0.356971</v>
      </c>
      <c r="S63" s="12">
        <v>0.099838</v>
      </c>
    </row>
    <row r="64">
      <c r="O64" s="10" t="s">
        <v>91</v>
      </c>
      <c r="P64" s="12">
        <v>1.353156</v>
      </c>
      <c r="Q64" s="12">
        <v>-3.559544</v>
      </c>
      <c r="R64" s="12">
        <v>-0.762876</v>
      </c>
      <c r="S64" s="12">
        <v>-0.188957</v>
      </c>
    </row>
    <row r="65">
      <c r="O65" s="10" t="s">
        <v>92</v>
      </c>
      <c r="P65" s="12">
        <v>2.302397</v>
      </c>
      <c r="Q65" s="12">
        <v>-0.7339</v>
      </c>
      <c r="R65" s="12">
        <v>-1.695918</v>
      </c>
      <c r="S65" s="12">
        <v>0.488037</v>
      </c>
    </row>
    <row r="66">
      <c r="O66" s="10" t="s">
        <v>93</v>
      </c>
      <c r="P66" s="12">
        <v>-1.011424</v>
      </c>
      <c r="Q66" s="12">
        <v>-2.194926</v>
      </c>
      <c r="R66" s="12">
        <v>-0.515287</v>
      </c>
      <c r="S66" s="12">
        <v>-0.232023</v>
      </c>
    </row>
    <row r="67">
      <c r="O67" s="10" t="s">
        <v>94</v>
      </c>
      <c r="P67" s="12">
        <v>0.989847</v>
      </c>
      <c r="Q67" s="12">
        <v>1.525456</v>
      </c>
      <c r="R67" s="12">
        <v>-0.558035</v>
      </c>
      <c r="S67" s="12">
        <v>0.192251</v>
      </c>
    </row>
    <row r="68">
      <c r="O68" s="10" t="s">
        <v>95</v>
      </c>
      <c r="P68" s="12">
        <v>2.934326</v>
      </c>
      <c r="Q68" s="12">
        <v>1.256564</v>
      </c>
      <c r="R68" s="12">
        <v>2.198109</v>
      </c>
      <c r="S68" s="12">
        <v>-0.063112</v>
      </c>
    </row>
    <row r="69">
      <c r="O69" s="10" t="s">
        <v>96</v>
      </c>
      <c r="P69" s="12">
        <v>0.946583</v>
      </c>
      <c r="Q69" s="12">
        <v>-0.001348</v>
      </c>
      <c r="R69" s="12">
        <v>-1.49622</v>
      </c>
      <c r="S69" s="12">
        <v>0.506427</v>
      </c>
    </row>
    <row r="70">
      <c r="O70" s="10" t="s">
        <v>97</v>
      </c>
      <c r="P70" s="12">
        <v>1.250217</v>
      </c>
      <c r="Q70" s="12">
        <v>2.075147</v>
      </c>
      <c r="R70" s="12">
        <v>0.314908</v>
      </c>
      <c r="S70" s="12">
        <v>0.176911</v>
      </c>
    </row>
    <row r="71">
      <c r="O71" s="10" t="s">
        <v>98</v>
      </c>
      <c r="P71" s="12">
        <v>-2.101835</v>
      </c>
      <c r="Q71" s="12">
        <v>-2.14063</v>
      </c>
      <c r="R71" s="12">
        <v>-0.377984</v>
      </c>
      <c r="S71" s="12">
        <v>-0.361631</v>
      </c>
    </row>
    <row r="72">
      <c r="O72" s="10" t="s">
        <v>99</v>
      </c>
      <c r="P72" s="12">
        <v>1.438414</v>
      </c>
      <c r="Q72" s="12">
        <v>-1.772854</v>
      </c>
      <c r="R72" s="12">
        <v>-1.316004</v>
      </c>
      <c r="S72" s="12">
        <v>0.229118</v>
      </c>
    </row>
    <row r="73">
      <c r="O73" s="10" t="s">
        <v>100</v>
      </c>
      <c r="P73" s="12">
        <v>-4.854089</v>
      </c>
      <c r="Q73" s="12">
        <v>-1.115593</v>
      </c>
      <c r="R73" s="12">
        <v>0.295351</v>
      </c>
      <c r="S73" s="12">
        <v>-0.518639</v>
      </c>
    </row>
    <row r="74">
      <c r="O74" s="10" t="s">
        <v>101</v>
      </c>
      <c r="P74" s="12">
        <v>1.687029</v>
      </c>
      <c r="Q74" s="12">
        <v>-2.083985</v>
      </c>
      <c r="R74" s="12">
        <v>1.826639</v>
      </c>
      <c r="S74" s="12">
        <v>-0.201304</v>
      </c>
    </row>
    <row r="75">
      <c r="O75" s="10" t="s">
        <v>102</v>
      </c>
      <c r="P75" s="12">
        <v>-1.092878</v>
      </c>
      <c r="Q75" s="12">
        <v>-0.723148</v>
      </c>
      <c r="R75" s="12">
        <v>0.406889</v>
      </c>
      <c r="S75" s="12">
        <v>-0.201963</v>
      </c>
    </row>
    <row r="76">
      <c r="O76" s="10" t="s">
        <v>103</v>
      </c>
      <c r="P76" s="12">
        <v>1.674498</v>
      </c>
      <c r="Q76" s="12">
        <v>0.29872</v>
      </c>
      <c r="R76" s="12">
        <v>1.028768</v>
      </c>
      <c r="S76" s="12">
        <v>0.230232</v>
      </c>
    </row>
    <row r="77">
      <c r="O77" s="10" t="s">
        <v>104</v>
      </c>
      <c r="P77" s="12">
        <v>-0.375533</v>
      </c>
      <c r="Q77" s="12">
        <v>1.083577</v>
      </c>
      <c r="R77" s="12">
        <v>-0.86976</v>
      </c>
      <c r="S77" s="12">
        <v>0.261219</v>
      </c>
    </row>
    <row r="78">
      <c r="O78" s="10" t="s">
        <v>105</v>
      </c>
      <c r="P78" s="12">
        <v>1.673765</v>
      </c>
      <c r="Q78" s="12">
        <v>0.545988</v>
      </c>
      <c r="R78" s="12">
        <v>1.47669</v>
      </c>
      <c r="S78" s="12">
        <v>0.440014</v>
      </c>
    </row>
    <row r="79">
      <c r="O79" s="10" t="s">
        <v>106</v>
      </c>
      <c r="P79" s="12">
        <v>1.132774</v>
      </c>
      <c r="Q79" s="12">
        <v>0.409326</v>
      </c>
      <c r="R79" s="12">
        <v>-0.521562</v>
      </c>
      <c r="S79" s="12">
        <v>0.585059</v>
      </c>
    </row>
    <row r="80">
      <c r="O80" s="10" t="s">
        <v>107</v>
      </c>
      <c r="P80" s="12">
        <v>-2.677196</v>
      </c>
      <c r="Q80" s="12">
        <v>3.304939</v>
      </c>
      <c r="R80" s="12">
        <v>0.495057</v>
      </c>
      <c r="S80" s="12">
        <v>-0.068634</v>
      </c>
    </row>
    <row r="81">
      <c r="O81" s="10" t="s">
        <v>108</v>
      </c>
      <c r="P81" s="12">
        <v>-4.72596</v>
      </c>
      <c r="Q81" s="12">
        <v>-1.014007</v>
      </c>
      <c r="R81" s="12">
        <v>0.336864</v>
      </c>
      <c r="S81" s="12">
        <v>-0.234525</v>
      </c>
    </row>
    <row r="82">
      <c r="O82" s="10" t="s">
        <v>109</v>
      </c>
      <c r="P82" s="12">
        <v>1.449576</v>
      </c>
      <c r="Q82" s="12">
        <v>1.169995</v>
      </c>
      <c r="R82" s="12">
        <v>1.08796</v>
      </c>
      <c r="S82" s="12">
        <v>0.441834</v>
      </c>
    </row>
    <row r="83">
      <c r="O83" s="10" t="s">
        <v>110</v>
      </c>
      <c r="P83" s="12">
        <v>-0.341903</v>
      </c>
      <c r="Q83" s="12">
        <v>1.589126</v>
      </c>
      <c r="R83" s="12">
        <v>-1.303558</v>
      </c>
      <c r="S83" s="12">
        <v>0.615633</v>
      </c>
    </row>
    <row r="84">
      <c r="O84" s="10" t="s">
        <v>111</v>
      </c>
      <c r="P84" s="12">
        <v>-0.591334</v>
      </c>
      <c r="Q84" s="12">
        <v>0.758117</v>
      </c>
      <c r="R84" s="12">
        <v>-0.468654</v>
      </c>
      <c r="S84" s="12">
        <v>0.606629</v>
      </c>
    </row>
    <row r="85">
      <c r="O85" s="10" t="s">
        <v>112</v>
      </c>
      <c r="P85" s="12">
        <v>-2.507562</v>
      </c>
      <c r="Q85" s="12">
        <v>-1.648674</v>
      </c>
      <c r="R85" s="12">
        <v>-0.369889</v>
      </c>
      <c r="S85" s="12">
        <v>0.142035</v>
      </c>
    </row>
    <row r="86">
      <c r="O86" s="10" t="s">
        <v>113</v>
      </c>
      <c r="P86" s="12">
        <v>-0.890445</v>
      </c>
      <c r="Q86" s="12">
        <v>2.037992</v>
      </c>
      <c r="R86" s="12">
        <v>-0.269835</v>
      </c>
      <c r="S86" s="12">
        <v>0.489065</v>
      </c>
    </row>
    <row r="87">
      <c r="O87" s="10" t="s">
        <v>114</v>
      </c>
      <c r="P87" s="12">
        <v>-1.12033</v>
      </c>
      <c r="Q87" s="12">
        <v>1.546381</v>
      </c>
      <c r="R87" s="12">
        <v>-0.72876</v>
      </c>
      <c r="S87" s="12">
        <v>0.703112</v>
      </c>
    </row>
    <row r="88">
      <c r="O88" s="10" t="s">
        <v>115</v>
      </c>
      <c r="P88" s="12">
        <v>0.009491</v>
      </c>
      <c r="Q88" s="12">
        <v>-2.70364</v>
      </c>
      <c r="R88" s="12">
        <v>-0.550318</v>
      </c>
      <c r="S88" s="12">
        <v>0.454491</v>
      </c>
    </row>
    <row r="89">
      <c r="O89" s="10" t="s">
        <v>116</v>
      </c>
      <c r="P89" s="12">
        <v>2.934021</v>
      </c>
      <c r="Q89" s="12">
        <v>-0.060952</v>
      </c>
      <c r="R89" s="12">
        <v>0.297823</v>
      </c>
      <c r="S89" s="12">
        <v>0.896343</v>
      </c>
    </row>
    <row r="90">
      <c r="O90" s="10" t="s">
        <v>117</v>
      </c>
      <c r="P90" s="12">
        <v>-3.999237</v>
      </c>
      <c r="Q90" s="12">
        <v>1.498724</v>
      </c>
      <c r="R90" s="12">
        <v>0.613948</v>
      </c>
      <c r="S90" s="12">
        <v>0.420142</v>
      </c>
    </row>
    <row r="91">
      <c r="O91" s="10" t="s">
        <v>118</v>
      </c>
      <c r="P91" s="12">
        <v>0.558336</v>
      </c>
      <c r="Q91" s="12">
        <v>-2.500187</v>
      </c>
      <c r="R91" s="12">
        <v>-0.590093</v>
      </c>
      <c r="S91" s="12">
        <v>0.700524</v>
      </c>
    </row>
    <row r="92">
      <c r="O92" s="10" t="s">
        <v>119</v>
      </c>
      <c r="P92" s="12">
        <v>1.19038</v>
      </c>
      <c r="Q92" s="12">
        <v>1.259376</v>
      </c>
      <c r="R92" s="12">
        <v>1.677469</v>
      </c>
      <c r="S92" s="12">
        <v>0.626707</v>
      </c>
    </row>
    <row r="93">
      <c r="O93" s="10" t="s">
        <v>120</v>
      </c>
      <c r="P93" s="12">
        <v>2.403592</v>
      </c>
      <c r="Q93" s="12">
        <v>-0.598242</v>
      </c>
      <c r="R93" s="12">
        <v>0.189049</v>
      </c>
      <c r="S93" s="12">
        <v>0.924924</v>
      </c>
    </row>
    <row r="94">
      <c r="O94" s="10" t="s">
        <v>121</v>
      </c>
      <c r="P94" s="12">
        <v>-2.119339</v>
      </c>
      <c r="Q94" s="12">
        <v>2.095996</v>
      </c>
      <c r="R94" s="12">
        <v>0.831835</v>
      </c>
      <c r="S94" s="12">
        <v>0.934142</v>
      </c>
    </row>
    <row r="95">
      <c r="O95" s="10" t="s">
        <v>122</v>
      </c>
      <c r="P95" s="12">
        <v>1.552349</v>
      </c>
      <c r="Q95" s="12">
        <v>1.116676</v>
      </c>
      <c r="R95" s="12">
        <v>-1.46461</v>
      </c>
      <c r="S95" s="12">
        <v>1.412031</v>
      </c>
    </row>
    <row r="96">
      <c r="O96" s="10" t="s">
        <v>123</v>
      </c>
      <c r="P96" s="12">
        <v>-0.342549</v>
      </c>
      <c r="Q96" s="12">
        <v>2.037194</v>
      </c>
      <c r="R96" s="12">
        <v>0.628714</v>
      </c>
      <c r="S96" s="12">
        <v>0.913044</v>
      </c>
    </row>
    <row r="97">
      <c r="O97" s="10" t="s">
        <v>124</v>
      </c>
      <c r="P97" s="12">
        <v>-3.036327</v>
      </c>
      <c r="Q97" s="12">
        <v>-1.364771</v>
      </c>
      <c r="R97" s="12">
        <v>0.281417</v>
      </c>
      <c r="S97" s="12">
        <v>0.967484</v>
      </c>
    </row>
    <row r="98">
      <c r="O98" s="10" t="s">
        <v>125</v>
      </c>
      <c r="P98" s="12">
        <v>1.071931</v>
      </c>
      <c r="Q98" s="12">
        <v>0.08677</v>
      </c>
      <c r="R98" s="12">
        <v>0.722941</v>
      </c>
      <c r="S98" s="12">
        <v>1.208481</v>
      </c>
    </row>
    <row r="99">
      <c r="O99" s="10" t="s">
        <v>126</v>
      </c>
      <c r="P99" s="12">
        <v>-3.204136</v>
      </c>
      <c r="Q99" s="12">
        <v>-0.855572</v>
      </c>
      <c r="R99" s="12">
        <v>-0.434221</v>
      </c>
      <c r="S99" s="12">
        <v>1.383636</v>
      </c>
    </row>
    <row r="100">
      <c r="O100" s="10" t="s">
        <v>127</v>
      </c>
      <c r="P100" s="12">
        <v>-2.1517</v>
      </c>
      <c r="Q100" s="12">
        <v>0.623936</v>
      </c>
      <c r="R100" s="12">
        <v>1.247407</v>
      </c>
      <c r="S100" s="12">
        <v>1.836006</v>
      </c>
    </row>
    <row r="101">
      <c r="O101" s="10" t="s">
        <v>128</v>
      </c>
      <c r="P101" s="12">
        <v>-1.011012</v>
      </c>
      <c r="Q101" s="12">
        <v>-0.193744</v>
      </c>
      <c r="R101" s="12">
        <v>0.405602</v>
      </c>
      <c r="S101" s="12">
        <v>1.830085</v>
      </c>
    </row>
    <row r="102">
      <c r="O102" s="10" t="s">
        <v>129</v>
      </c>
      <c r="P102" s="12">
        <v>2.199464</v>
      </c>
      <c r="Q102" s="12">
        <v>-1.654278</v>
      </c>
      <c r="R102" s="12">
        <v>1.353749</v>
      </c>
      <c r="S102" s="12">
        <v>2.246703</v>
      </c>
    </row>
    <row r="103">
      <c r="O103" s="10" t="s">
        <v>130</v>
      </c>
      <c r="P103" s="12">
        <v>-4.773869</v>
      </c>
      <c r="Q103" s="12">
        <v>-0.264988</v>
      </c>
      <c r="R103" s="12">
        <v>0.307778</v>
      </c>
      <c r="S103" s="12">
        <v>1.834968</v>
      </c>
    </row>
    <row r="104">
      <c r="O104" s="10" t="s">
        <v>131</v>
      </c>
      <c r="P104" s="12">
        <v>-1.046876</v>
      </c>
      <c r="Q104" s="12">
        <v>-0.017242</v>
      </c>
      <c r="R104" s="12">
        <v>0.267638</v>
      </c>
      <c r="S104" s="12">
        <v>2.116287</v>
      </c>
    </row>
    <row r="105">
      <c r="O105" s="10" t="s">
        <v>132</v>
      </c>
      <c r="P105" s="12">
        <v>-2.444122</v>
      </c>
      <c r="Q105" s="12">
        <v>0.297288</v>
      </c>
      <c r="R105" s="12">
        <v>-0.674246</v>
      </c>
      <c r="S105" s="12">
        <v>2.375156</v>
      </c>
    </row>
    <row r="106">
      <c r="O106" s="10" t="s">
        <v>133</v>
      </c>
      <c r="P106" s="12">
        <v>-2.467506</v>
      </c>
      <c r="Q106" s="12">
        <v>0.716028</v>
      </c>
      <c r="R106" s="12">
        <v>-1.05839</v>
      </c>
      <c r="S106" s="12">
        <v>2.355739</v>
      </c>
    </row>
    <row r="107">
      <c r="O107" s="10" t="s">
        <v>134</v>
      </c>
      <c r="P107" s="12">
        <v>0.573329</v>
      </c>
      <c r="Q107" s="12">
        <v>-0.36456</v>
      </c>
      <c r="R107" s="12">
        <v>0.185764</v>
      </c>
      <c r="S107" s="12">
        <v>2.617732</v>
      </c>
    </row>
    <row r="108">
      <c r="O108" s="10" t="s">
        <v>135</v>
      </c>
      <c r="P108" s="12">
        <v>0.263162</v>
      </c>
      <c r="Q108" s="12">
        <v>-1.243693</v>
      </c>
      <c r="R108" s="12">
        <v>-0.704456</v>
      </c>
      <c r="S108" s="12">
        <v>2.963773</v>
      </c>
    </row>
    <row r="109">
      <c r="O109" s="10" t="s">
        <v>136</v>
      </c>
      <c r="P109" s="12">
        <v>1.567587</v>
      </c>
      <c r="Q109" s="12">
        <v>-1.104046</v>
      </c>
      <c r="R109" s="12">
        <v>2.012016</v>
      </c>
      <c r="S109" s="12">
        <v>3.213468</v>
      </c>
    </row>
    <row r="110">
      <c r="O110" s="10" t="s">
        <v>137</v>
      </c>
      <c r="P110" s="12">
        <v>-0.826086</v>
      </c>
      <c r="Q110" s="12">
        <v>-1.580212</v>
      </c>
      <c r="R110" s="12">
        <v>0.189385</v>
      </c>
      <c r="S110" s="12">
        <v>3.43616</v>
      </c>
    </row>
  </sheetData>
  <conditionalFormatting sqref="B17:L27">
    <cfRule type="cellIs" dxfId="3" priority="1" operator="between">
      <formula>0.9</formula>
      <formula>1</formula>
    </cfRule>
  </conditionalFormatting>
  <conditionalFormatting sqref="B17:L27">
    <cfRule type="cellIs" dxfId="8" priority="2" operator="between">
      <formula>-0.9</formula>
      <formula>-1</formula>
    </cfRule>
  </conditionalFormatting>
  <conditionalFormatting sqref="A16:L27">
    <cfRule type="cellIs" dxfId="9" priority="3" operator="between">
      <formula>0.8</formula>
      <formula>0.9</formula>
    </cfRule>
  </conditionalFormatting>
  <conditionalFormatting sqref="A16:L27">
    <cfRule type="cellIs" dxfId="7" priority="4" operator="between">
      <formula>-0.8</formula>
      <formula>-0.9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6" t="str">
        <f>'Récap'!E1</f>
        <v>EQ</v>
      </c>
      <c r="C1" s="6" t="str">
        <f>'Récap'!F1</f>
        <v>RED</v>
      </c>
      <c r="D1" s="3" t="str">
        <f>'Récap'!G1</f>
        <v>Comp_Count</v>
      </c>
      <c r="E1" s="3" t="str">
        <f>'Récap'!H1</f>
        <v>Sess_Count</v>
      </c>
      <c r="F1" s="3" t="str">
        <f>'Récap'!I1</f>
        <v>Comp_FP_Ratio</v>
      </c>
      <c r="G1" s="3" t="str">
        <f>'Récap'!J1</f>
        <v>Frac_Long</v>
      </c>
      <c r="H1" s="3" t="str">
        <f>'Récap'!K1</f>
        <v>Mean_Test</v>
      </c>
      <c r="I1" s="3" t="str">
        <f>'Récap'!L1</f>
        <v>First_Compile</v>
      </c>
      <c r="J1" s="3" t="str">
        <f>'Récap'!M1</f>
        <v>Compile_Span</v>
      </c>
      <c r="K1" s="3" t="str">
        <f>'Récap'!N1</f>
        <v>Last_Compile</v>
      </c>
      <c r="L1" s="3" t="str">
        <f>'Récap'!O1</f>
        <v>Time_To_Score1</v>
      </c>
    </row>
    <row r="2">
      <c r="A2" s="15" t="str">
        <f>'Récap'!A2</f>
        <v>13b34a353ac9ea6554f0bfc998b55f394ed800dfc03b32dc37d311d2551a5749</v>
      </c>
      <c r="B2" s="3">
        <f t="shared" ref="B2:H2" si="1">(XLOOKUP($A2, INDIRECT("'"&amp;B$1&amp;"'!A:A"), INDIRECT("'"&amp;B$1&amp;"'!B:B"), "")-AVERAGE(INDIRECT("'"&amp;B$1&amp;"'!B2:B")))/STDEV(INDIRECT("'"&amp;B$1&amp;"'!B2:B"))</f>
        <v>0.9955398859</v>
      </c>
      <c r="C2" s="3">
        <f t="shared" si="1"/>
        <v>1.105376169</v>
      </c>
      <c r="D2" s="3">
        <f t="shared" si="1"/>
        <v>4.352742829</v>
      </c>
      <c r="E2" s="3">
        <f t="shared" si="1"/>
        <v>0.0142144138</v>
      </c>
      <c r="F2" s="3">
        <f t="shared" si="1"/>
        <v>-1.057829658</v>
      </c>
      <c r="G2" s="3">
        <f t="shared" si="1"/>
        <v>-0.6732147153</v>
      </c>
      <c r="H2" s="3">
        <f t="shared" si="1"/>
        <v>-0.9780988031</v>
      </c>
    </row>
    <row r="3">
      <c r="A3" s="15" t="str">
        <f>'Récap'!A3</f>
        <v>351cff49ce968bd6bb542470c3004131a5042932b5f2cb0e7ea8492770b77485</v>
      </c>
      <c r="B3" s="3">
        <f t="shared" ref="B3:B111" si="3">(XLOOKUP(A3, INDIRECT("'"&amp;B$1&amp;"'!A:A"), INDIRECT("'"&amp;B$1&amp;"'!B:B"), "")-AVERAGE(INDIRECT("'"&amp;B$1&amp;"'!B2:B")))/STDEV(INDIRECT("'"&amp;B$1&amp;"'!B2:B"))</f>
        <v>-0.2007221885</v>
      </c>
      <c r="C3" s="3">
        <f t="shared" ref="C3:H3" si="2">(XLOOKUP($A3, INDIRECT("'"&amp;C$1&amp;"'!A:A"), INDIRECT("'"&amp;C$1&amp;"'!B:B"), "")-AVERAGE(INDIRECT("'"&amp;C$1&amp;"'!B2:B")))/STDEV(INDIRECT("'"&amp;C$1&amp;"'!B2:B"))</f>
        <v>-0.4976226162</v>
      </c>
      <c r="D3" s="3">
        <f t="shared" si="2"/>
        <v>-0.7283302358</v>
      </c>
      <c r="E3" s="3">
        <f t="shared" si="2"/>
        <v>0.0142144138</v>
      </c>
      <c r="F3" s="3">
        <f t="shared" si="2"/>
        <v>-0.3130429276</v>
      </c>
      <c r="G3" s="3">
        <f t="shared" si="2"/>
        <v>1.235553467</v>
      </c>
      <c r="H3" s="3">
        <f t="shared" si="2"/>
        <v>-0.03188235736</v>
      </c>
    </row>
    <row r="4">
      <c r="A4" s="15" t="str">
        <f>'Récap'!A4</f>
        <v>cef23c3f251969f778435219b38afa60f2e41b3927e82fa6d43de8c59f93f883</v>
      </c>
      <c r="B4" s="3">
        <f t="shared" si="3"/>
        <v>-0.2898845792</v>
      </c>
      <c r="C4" s="3">
        <f t="shared" ref="C4:H4" si="4">(XLOOKUP($A4, INDIRECT("'"&amp;C$1&amp;"'!A:A"), INDIRECT("'"&amp;C$1&amp;"'!B:B"), "")-AVERAGE(INDIRECT("'"&amp;C$1&amp;"'!B2:B")))/STDEV(INDIRECT("'"&amp;C$1&amp;"'!B2:B"))</f>
        <v>-0.3177472151</v>
      </c>
      <c r="D4" s="3">
        <f t="shared" si="4"/>
        <v>2.188582079</v>
      </c>
      <c r="E4" s="3">
        <f t="shared" si="4"/>
        <v>0.0142144138</v>
      </c>
      <c r="F4" s="3">
        <f t="shared" si="4"/>
        <v>0.3690697559</v>
      </c>
      <c r="G4" s="3">
        <f t="shared" si="4"/>
        <v>-0.5803011319</v>
      </c>
      <c r="H4" s="3">
        <f t="shared" si="4"/>
        <v>0.3241568427</v>
      </c>
    </row>
    <row r="5">
      <c r="A5" s="15" t="str">
        <f>'Récap'!A5</f>
        <v>c547e37e3c5d2add9a3cb5fdeecfbc779e0ee9d6a7dbb489c799cc94e7b9abd2</v>
      </c>
      <c r="B5" s="3">
        <f t="shared" si="3"/>
        <v>0.8246453038</v>
      </c>
      <c r="C5" s="3">
        <f t="shared" ref="C5:H5" si="5">(XLOOKUP($A5, INDIRECT("'"&amp;C$1&amp;"'!A:A"), INDIRECT("'"&amp;C$1&amp;"'!B:B"), "")-AVERAGE(INDIRECT("'"&amp;C$1&amp;"'!B2:B")))/STDEV(INDIRECT("'"&amp;C$1&amp;"'!B2:B"))</f>
        <v>0.697549649</v>
      </c>
      <c r="D5" s="3">
        <f t="shared" si="5"/>
        <v>-0.2578605075</v>
      </c>
      <c r="E5" s="3">
        <f t="shared" si="5"/>
        <v>-0.91682969</v>
      </c>
      <c r="F5" s="3">
        <f t="shared" si="5"/>
        <v>-0.9592549436</v>
      </c>
      <c r="G5" s="3">
        <f t="shared" si="5"/>
        <v>-0.8146049511</v>
      </c>
      <c r="H5" s="3">
        <f t="shared" si="5"/>
        <v>-0.8620522774</v>
      </c>
    </row>
    <row r="6">
      <c r="A6" s="15" t="str">
        <f>'Récap'!A6</f>
        <v>098d08de95d38eeec0842ad11e1e98d03c5afff456588f8ec0e9b2842aae39a3</v>
      </c>
      <c r="B6" s="3">
        <f t="shared" si="3"/>
        <v>-1.226089681</v>
      </c>
      <c r="C6" s="3">
        <f t="shared" ref="C6:H6" si="6">(XLOOKUP($A6, INDIRECT("'"&amp;C$1&amp;"'!A:A"), INDIRECT("'"&amp;C$1&amp;"'!B:B"), "")-AVERAGE(INDIRECT("'"&amp;C$1&amp;"'!B2:B")))/STDEV(INDIRECT("'"&amp;C$1&amp;"'!B2:B"))</f>
        <v>-1.088641892</v>
      </c>
      <c r="D6" s="3">
        <f t="shared" si="6"/>
        <v>-0.8224241815</v>
      </c>
      <c r="E6" s="3">
        <f t="shared" si="6"/>
        <v>0.0142144138</v>
      </c>
      <c r="F6" s="3">
        <f t="shared" si="6"/>
        <v>0.8178281003</v>
      </c>
      <c r="G6" s="3">
        <f t="shared" si="6"/>
        <v>1.918939606</v>
      </c>
      <c r="H6" s="3">
        <f t="shared" si="6"/>
        <v>0.07707745826</v>
      </c>
    </row>
    <row r="7">
      <c r="A7" s="15" t="str">
        <f>'Récap'!A7</f>
        <v>b2c90b16a2864cf16993f00192cdb13ee656ac6cd53f745acd473a25224cd05d</v>
      </c>
      <c r="B7" s="3">
        <f t="shared" si="3"/>
        <v>-0.9894664134</v>
      </c>
      <c r="C7" s="3">
        <f t="shared" ref="C7:H7" si="7">(XLOOKUP($A7, INDIRECT("'"&amp;C$1&amp;"'!A:A"), INDIRECT("'"&amp;C$1&amp;"'!B:B"), "")-AVERAGE(INDIRECT("'"&amp;C$1&amp;"'!B2:B")))/STDEV(INDIRECT("'"&amp;C$1&amp;"'!B2:B"))</f>
        <v>-0.9522528259</v>
      </c>
      <c r="D7" s="3">
        <f t="shared" si="7"/>
        <v>0.7771728946</v>
      </c>
      <c r="E7" s="3">
        <f t="shared" si="7"/>
        <v>3.738390829</v>
      </c>
      <c r="F7" s="3">
        <f t="shared" si="7"/>
        <v>0.8562931013</v>
      </c>
      <c r="G7" s="3">
        <f t="shared" si="7"/>
        <v>1.235553467</v>
      </c>
      <c r="H7" s="3">
        <f t="shared" si="7"/>
        <v>0.860056301</v>
      </c>
    </row>
    <row r="8">
      <c r="A8" s="15" t="str">
        <f>'Récap'!A8</f>
        <v>6a91389bf293538f8bfd1747ffc38730176f9e72e8ed7004fabc8cd25e69df6b</v>
      </c>
      <c r="B8" s="3">
        <f t="shared" si="3"/>
        <v>-1.226089681</v>
      </c>
      <c r="C8" s="3">
        <f t="shared" ref="C8:H8" si="8">(XLOOKUP($A8, INDIRECT("'"&amp;C$1&amp;"'!A:A"), INDIRECT("'"&amp;C$1&amp;"'!B:B"), "")-AVERAGE(INDIRECT("'"&amp;C$1&amp;"'!B2:B")))/STDEV(INDIRECT("'"&amp;C$1&amp;"'!B2:B"))</f>
        <v>-1.088641892</v>
      </c>
      <c r="D8" s="3">
        <f t="shared" si="8"/>
        <v>-0.06967261625</v>
      </c>
      <c r="E8" s="3">
        <f t="shared" si="8"/>
        <v>0.0142144138</v>
      </c>
      <c r="F8" s="3">
        <f t="shared" si="8"/>
        <v>1.62559312</v>
      </c>
      <c r="G8" s="3">
        <f t="shared" si="8"/>
        <v>-0.06909279904</v>
      </c>
      <c r="H8" s="3">
        <f t="shared" si="8"/>
        <v>0.4567860717</v>
      </c>
    </row>
    <row r="9">
      <c r="A9" s="15" t="str">
        <f>'Récap'!A9</f>
        <v>93a7aef5296e288f3a39f8c1c0dcb8935c9657f5c87378408e5d1910444e7c70</v>
      </c>
      <c r="B9" s="3">
        <f t="shared" si="3"/>
        <v>0.5683034307</v>
      </c>
      <c r="C9" s="3">
        <f t="shared" ref="C9:H9" si="9">(XLOOKUP($A9, INDIRECT("'"&amp;C$1&amp;"'!A:A"), INDIRECT("'"&amp;C$1&amp;"'!B:B"), "")-AVERAGE(INDIRECT("'"&amp;C$1&amp;"'!B2:B")))/STDEV(INDIRECT("'"&amp;C$1&amp;"'!B2:B"))</f>
        <v>0.7213546166</v>
      </c>
      <c r="D9" s="3">
        <f t="shared" si="9"/>
        <v>0.683078949</v>
      </c>
      <c r="E9" s="3">
        <f t="shared" si="9"/>
        <v>1.876302621</v>
      </c>
      <c r="F9" s="3">
        <f t="shared" si="9"/>
        <v>0.1716160844</v>
      </c>
      <c r="G9" s="3">
        <f t="shared" si="9"/>
        <v>0.4802319446</v>
      </c>
      <c r="H9" s="3">
        <f t="shared" si="9"/>
        <v>0.4523835504</v>
      </c>
    </row>
    <row r="10">
      <c r="A10" s="15" t="str">
        <f>'Récap'!A10</f>
        <v>76b0bf253c0d17b6f275cc641729eda42ebed851893da32c132515023ab1e4e1</v>
      </c>
      <c r="B10" s="3">
        <f t="shared" si="3"/>
        <v>-0.2007221885</v>
      </c>
      <c r="C10" s="3">
        <f t="shared" ref="C10:H10" si="10">(XLOOKUP($A10, INDIRECT("'"&amp;C$1&amp;"'!A:A"), INDIRECT("'"&amp;C$1&amp;"'!B:B"), "")-AVERAGE(INDIRECT("'"&amp;C$1&amp;"'!B2:B")))/STDEV(INDIRECT("'"&amp;C$1&amp;"'!B2:B"))</f>
        <v>-0.3006162144</v>
      </c>
      <c r="D10" s="3">
        <f t="shared" si="10"/>
        <v>-0.1637665619</v>
      </c>
      <c r="E10" s="3">
        <f t="shared" si="10"/>
        <v>0.0142144138</v>
      </c>
      <c r="F10" s="3">
        <f t="shared" si="10"/>
        <v>0.1569294476</v>
      </c>
      <c r="G10" s="3">
        <f t="shared" si="10"/>
        <v>0.005458416167</v>
      </c>
      <c r="H10" s="3">
        <f t="shared" si="10"/>
        <v>0.4551350036</v>
      </c>
    </row>
    <row r="11">
      <c r="A11" s="15" t="str">
        <f>'Récap'!A11</f>
        <v>9323ada035535298a0de65f40698a45122446c861947978f1be17123ecf09a53</v>
      </c>
      <c r="B11" s="3">
        <f t="shared" si="3"/>
        <v>1.850012796</v>
      </c>
      <c r="C11" s="3">
        <f t="shared" ref="C11:H11" si="11">(XLOOKUP($A11, INDIRECT("'"&amp;C$1&amp;"'!A:A"), INDIRECT("'"&amp;C$1&amp;"'!B:B"), "")-AVERAGE(INDIRECT("'"&amp;C$1&amp;"'!B2:B")))/STDEV(INDIRECT("'"&amp;C$1&amp;"'!B2:B"))</f>
        <v>1.866454418</v>
      </c>
      <c r="D11" s="3">
        <f t="shared" si="11"/>
        <v>-0.6342362901</v>
      </c>
      <c r="E11" s="3">
        <f t="shared" si="11"/>
        <v>0.0142144138</v>
      </c>
      <c r="F11" s="3">
        <f t="shared" si="11"/>
        <v>-1.60546696</v>
      </c>
      <c r="G11" s="3">
        <f t="shared" si="11"/>
        <v>0.8255217834</v>
      </c>
      <c r="H11" s="3">
        <f t="shared" si="11"/>
        <v>-1.484679899</v>
      </c>
    </row>
    <row r="12">
      <c r="A12" s="15" t="str">
        <f>'Récap'!A12</f>
        <v>bd41cbdc04707f80b319802470a1871b99d36766f9d020cc0f9a569a4d1bb54b</v>
      </c>
      <c r="B12" s="3">
        <f t="shared" si="3"/>
        <v>-0.2007221885</v>
      </c>
      <c r="C12" s="3">
        <f t="shared" ref="C12:H12" si="12">(XLOOKUP($A12, INDIRECT("'"&amp;C$1&amp;"'!A:A"), INDIRECT("'"&amp;C$1&amp;"'!B:B"), "")-AVERAGE(INDIRECT("'"&amp;C$1&amp;"'!B2:B")))/STDEV(INDIRECT("'"&amp;C$1&amp;"'!B2:B"))</f>
        <v>-0.4976226162</v>
      </c>
      <c r="D12" s="3">
        <f t="shared" si="12"/>
        <v>-0.8224241815</v>
      </c>
      <c r="E12" s="3">
        <f t="shared" si="12"/>
        <v>-0.91682969</v>
      </c>
      <c r="F12" s="3">
        <f t="shared" si="12"/>
        <v>0.01006308038</v>
      </c>
      <c r="G12" s="3">
        <f t="shared" si="12"/>
        <v>-0.8146049511</v>
      </c>
      <c r="H12" s="3">
        <f t="shared" si="12"/>
        <v>0.1217791306</v>
      </c>
    </row>
    <row r="13">
      <c r="A13" s="15" t="str">
        <f>'Récap'!A13</f>
        <v>5c075290e921279538ad0cbf9786e8855bd2c7f97a066c94d059d313cb34273b</v>
      </c>
      <c r="B13" s="3">
        <f t="shared" si="3"/>
        <v>-0.6493204664</v>
      </c>
      <c r="C13" s="3">
        <f t="shared" ref="C13:H13" si="13">(XLOOKUP($A13, INDIRECT("'"&amp;C$1&amp;"'!A:A"), INDIRECT("'"&amp;C$1&amp;"'!B:B"), "")-AVERAGE(INDIRECT("'"&amp;C$1&amp;"'!B2:B")))/STDEV(INDIRECT("'"&amp;C$1&amp;"'!B2:B"))</f>
        <v>-0.5899693881</v>
      </c>
      <c r="D13" s="3">
        <f t="shared" si="13"/>
        <v>0.9653607859</v>
      </c>
      <c r="E13" s="3">
        <f t="shared" si="13"/>
        <v>1.876302621</v>
      </c>
      <c r="F13" s="3">
        <f t="shared" si="13"/>
        <v>0.2207843899</v>
      </c>
      <c r="G13" s="3">
        <f t="shared" si="13"/>
        <v>0.303663277</v>
      </c>
      <c r="H13" s="3">
        <f t="shared" si="13"/>
        <v>-0.0130542465</v>
      </c>
      <c r="K13" s="16"/>
    </row>
    <row r="14">
      <c r="A14" s="15" t="str">
        <f>'Récap'!A14</f>
        <v>d9381190f981d16a88149206249465bb181ce58d6359562dea944f4d477363e3</v>
      </c>
      <c r="B14" s="3">
        <f t="shared" si="3"/>
        <v>-0.4570640616</v>
      </c>
      <c r="C14" s="3">
        <f t="shared" ref="C14:H14" si="14">(XLOOKUP($A14, INDIRECT("'"&amp;C$1&amp;"'!A:A"), INDIRECT("'"&amp;C$1&amp;"'!B:B"), "")-AVERAGE(INDIRECT("'"&amp;C$1&amp;"'!B2:B")))/STDEV(INDIRECT("'"&amp;C$1&amp;"'!B2:B"))</f>
        <v>-0.6453774441</v>
      </c>
      <c r="D14" s="3">
        <f t="shared" si="14"/>
        <v>-0.06967261625</v>
      </c>
      <c r="E14" s="3">
        <f t="shared" si="14"/>
        <v>-0.91682969</v>
      </c>
      <c r="F14" s="3">
        <f t="shared" si="14"/>
        <v>-0.2591919263</v>
      </c>
      <c r="G14" s="3">
        <f t="shared" si="14"/>
        <v>-0.8146049511</v>
      </c>
      <c r="H14" s="3">
        <f t="shared" si="14"/>
        <v>-0.01977572329</v>
      </c>
      <c r="K14" s="16"/>
    </row>
    <row r="15">
      <c r="A15" s="15" t="str">
        <f>'Récap'!A15</f>
        <v>48f565383f47c6752893810686bd0c5f07fef08e34bc22a3f398d3b8c8db7c43</v>
      </c>
      <c r="B15" s="3">
        <f t="shared" si="3"/>
        <v>0.9138076945</v>
      </c>
      <c r="C15" s="3">
        <f t="shared" ref="C15:H15" si="15">(XLOOKUP($A15, INDIRECT("'"&amp;C$1&amp;"'!A:A"), INDIRECT("'"&amp;C$1&amp;"'!B:B"), "")-AVERAGE(INDIRECT("'"&amp;C$1&amp;"'!B2:B")))/STDEV(INDIRECT("'"&amp;C$1&amp;"'!B2:B"))</f>
        <v>1.006233833</v>
      </c>
      <c r="D15" s="3">
        <f t="shared" si="15"/>
        <v>1.52992446</v>
      </c>
      <c r="E15" s="3">
        <f t="shared" si="15"/>
        <v>0.0142144138</v>
      </c>
      <c r="F15" s="3">
        <f t="shared" si="15"/>
        <v>-0.6027241761</v>
      </c>
      <c r="G15" s="3">
        <f t="shared" si="15"/>
        <v>-0.5217251771</v>
      </c>
      <c r="H15" s="3">
        <f t="shared" si="15"/>
        <v>-0.5028785576</v>
      </c>
      <c r="K15" s="16"/>
    </row>
    <row r="16">
      <c r="A16" s="15" t="str">
        <f>'Récap'!A16</f>
        <v>ca1b7797566e850c3e583a2fbda610a51d5504ca9b0d611a0a3e2770c912d52d</v>
      </c>
      <c r="B16" s="3">
        <f t="shared" si="3"/>
        <v>0.05561968455</v>
      </c>
      <c r="C16" s="3">
        <f t="shared" ref="C16:H16" si="16">(XLOOKUP($A16, INDIRECT("'"&amp;C$1&amp;"'!A:A"), INDIRECT("'"&amp;C$1&amp;"'!B:B"), "")-AVERAGE(INDIRECT("'"&amp;C$1&amp;"'!B2:B")))/STDEV(INDIRECT("'"&amp;C$1&amp;"'!B2:B"))</f>
        <v>-0.02973238099</v>
      </c>
      <c r="D16" s="3">
        <f t="shared" si="16"/>
        <v>0.4948910577</v>
      </c>
      <c r="E16" s="3">
        <f t="shared" si="16"/>
        <v>0.0142144138</v>
      </c>
      <c r="F16" s="3">
        <f t="shared" si="16"/>
        <v>0.1895664182</v>
      </c>
      <c r="G16" s="3">
        <f t="shared" si="16"/>
        <v>-0.3322147351</v>
      </c>
      <c r="H16" s="3">
        <f t="shared" si="16"/>
        <v>0.1644626129</v>
      </c>
    </row>
    <row r="17">
      <c r="A17" s="15" t="str">
        <f>'Récap'!A17</f>
        <v>bee686e3fcc9f3886386d09a5bbd6f4779d852c8bb282b0b6185be70704d9207</v>
      </c>
      <c r="B17" s="3">
        <f t="shared" si="3"/>
        <v>-1.226089681</v>
      </c>
      <c r="C17" s="3">
        <f t="shared" ref="C17:H17" si="17">(XLOOKUP($A17, INDIRECT("'"&amp;C$1&amp;"'!A:A"), INDIRECT("'"&amp;C$1&amp;"'!B:B"), "")-AVERAGE(INDIRECT("'"&amp;C$1&amp;"'!B2:B")))/STDEV(INDIRECT("'"&amp;C$1&amp;"'!B2:B"))</f>
        <v>-1.088641892</v>
      </c>
      <c r="D17" s="3">
        <f t="shared" si="17"/>
        <v>-0.3519544532</v>
      </c>
      <c r="E17" s="3">
        <f t="shared" si="17"/>
        <v>-0.91682969</v>
      </c>
      <c r="F17" s="3">
        <f t="shared" si="17"/>
        <v>1.266586445</v>
      </c>
      <c r="G17" s="3">
        <f t="shared" si="17"/>
        <v>-0.8146049511</v>
      </c>
      <c r="H17" s="3">
        <f t="shared" si="17"/>
        <v>1.453103512</v>
      </c>
    </row>
    <row r="18">
      <c r="A18" s="15" t="str">
        <f>'Récap'!A18</f>
        <v>950ed53de307960251af3e387e595945da87494d2d2edf58b103f58f4ccfef78</v>
      </c>
      <c r="B18" s="3">
        <f t="shared" si="3"/>
        <v>-1.226089681</v>
      </c>
      <c r="C18" s="3">
        <f t="shared" ref="C18:H18" si="18">(XLOOKUP($A18, INDIRECT("'"&amp;C$1&amp;"'!A:A"), INDIRECT("'"&amp;C$1&amp;"'!B:B"), "")-AVERAGE(INDIRECT("'"&amp;C$1&amp;"'!B2:B")))/STDEV(INDIRECT("'"&amp;C$1&amp;"'!B2:B"))</f>
        <v>-1.088641892</v>
      </c>
      <c r="D18" s="3">
        <f t="shared" si="18"/>
        <v>-0.5401423445</v>
      </c>
      <c r="E18" s="3">
        <f t="shared" si="18"/>
        <v>0.9452585176</v>
      </c>
      <c r="F18" s="3">
        <f t="shared" si="18"/>
        <v>1.164013109</v>
      </c>
      <c r="G18" s="3">
        <f t="shared" si="18"/>
        <v>1.918939606</v>
      </c>
      <c r="H18" s="3">
        <f t="shared" si="18"/>
        <v>0.8872346926</v>
      </c>
    </row>
    <row r="19">
      <c r="A19" s="15" t="str">
        <f>'Récap'!A19</f>
        <v>7ce2ef889fd3931ddf910c65e58e6b626f658d713486152c54f9f8a0e6f37375</v>
      </c>
      <c r="B19" s="3">
        <f t="shared" si="3"/>
        <v>-0.8415768713</v>
      </c>
      <c r="C19" s="3">
        <f t="shared" ref="C19:H19" si="19">(XLOOKUP($A19, INDIRECT("'"&amp;C$1&amp;"'!A:A"), INDIRECT("'"&amp;C$1&amp;"'!B:B"), "")-AVERAGE(INDIRECT("'"&amp;C$1&amp;"'!B2:B")))/STDEV(INDIRECT("'"&amp;C$1&amp;"'!B2:B"))</f>
        <v>-0.8670096682</v>
      </c>
      <c r="D19" s="3">
        <f t="shared" si="19"/>
        <v>0.8712668403</v>
      </c>
      <c r="E19" s="3">
        <f t="shared" si="19"/>
        <v>0.9452585176</v>
      </c>
      <c r="F19" s="3">
        <f t="shared" si="19"/>
        <v>1.184994019</v>
      </c>
      <c r="G19" s="3">
        <f t="shared" si="19"/>
        <v>-0.03359222037</v>
      </c>
      <c r="H19" s="3">
        <f t="shared" si="19"/>
        <v>1.473124115</v>
      </c>
    </row>
    <row r="20">
      <c r="A20" s="15" t="str">
        <f>'Récap'!A20</f>
        <v>109c6e9ad83923fec425f5948621a620bad8efb25d507dbead8bcfa627bc55e6</v>
      </c>
      <c r="B20" s="3">
        <f t="shared" si="3"/>
        <v>-1.226089681</v>
      </c>
      <c r="C20" s="3">
        <f t="shared" ref="C20:H20" si="20">(XLOOKUP($A20, INDIRECT("'"&amp;C$1&amp;"'!A:A"), INDIRECT("'"&amp;C$1&amp;"'!B:B"), "")-AVERAGE(INDIRECT("'"&amp;C$1&amp;"'!B2:B")))/STDEV(INDIRECT("'"&amp;C$1&amp;"'!B2:B"))</f>
        <v>-1.088641892</v>
      </c>
      <c r="D20" s="3">
        <f t="shared" si="20"/>
        <v>0.4948910577</v>
      </c>
      <c r="E20" s="3">
        <f t="shared" si="20"/>
        <v>-0.91682969</v>
      </c>
      <c r="F20" s="3">
        <f t="shared" si="20"/>
        <v>0.9075797692</v>
      </c>
      <c r="G20" s="3">
        <f t="shared" si="20"/>
        <v>-0.8146049511</v>
      </c>
      <c r="H20" s="3">
        <f t="shared" si="20"/>
        <v>1.186469182</v>
      </c>
    </row>
    <row r="21">
      <c r="A21" s="15" t="str">
        <f>'Récap'!A21</f>
        <v>e3d00c0bcfea6e4a68c5c4842d0bedac5e761cfa5be62ec60aae839f44a7f555</v>
      </c>
      <c r="B21" s="3">
        <f t="shared" si="3"/>
        <v>-1.226089681</v>
      </c>
      <c r="C21" s="3">
        <f t="shared" ref="C21:H21" si="21">(XLOOKUP($A21, INDIRECT("'"&amp;C$1&amp;"'!A:A"), INDIRECT("'"&amp;C$1&amp;"'!B:B"), "")-AVERAGE(INDIRECT("'"&amp;C$1&amp;"'!B2:B")))/STDEV(INDIRECT("'"&amp;C$1&amp;"'!B2:B"))</f>
        <v>-1.088641892</v>
      </c>
      <c r="D21" s="3">
        <f t="shared" si="21"/>
        <v>-0.06967261625</v>
      </c>
      <c r="E21" s="3">
        <f t="shared" si="21"/>
        <v>0.9452585176</v>
      </c>
      <c r="F21" s="3">
        <f t="shared" si="21"/>
        <v>1.356338114</v>
      </c>
      <c r="G21" s="3">
        <f t="shared" si="21"/>
        <v>0.676419353</v>
      </c>
      <c r="H21" s="3">
        <f t="shared" si="21"/>
        <v>0.7990742525</v>
      </c>
    </row>
    <row r="22">
      <c r="A22" s="15" t="str">
        <f>'Récap'!A22</f>
        <v>091dc109aa58c7a670f4b61bc23df548fec73c05c7582dfb7c51f3a925d3618f</v>
      </c>
      <c r="B22" s="3">
        <f t="shared" si="3"/>
        <v>-1.086266841</v>
      </c>
      <c r="C22" s="3">
        <f t="shared" ref="C22:H22" si="22">(XLOOKUP($A22, INDIRECT("'"&amp;C$1&amp;"'!A:A"), INDIRECT("'"&amp;C$1&amp;"'!B:B"), "")-AVERAGE(INDIRECT("'"&amp;C$1&amp;"'!B2:B")))/STDEV(INDIRECT("'"&amp;C$1&amp;"'!B2:B"))</f>
        <v>-1.008048366</v>
      </c>
      <c r="D22" s="3">
        <f t="shared" si="22"/>
        <v>1.52992446</v>
      </c>
      <c r="E22" s="3">
        <f t="shared" si="22"/>
        <v>1.876302621</v>
      </c>
      <c r="F22" s="3">
        <f t="shared" si="22"/>
        <v>1.291345526</v>
      </c>
      <c r="G22" s="3">
        <f t="shared" si="22"/>
        <v>0.06403437097</v>
      </c>
      <c r="H22" s="3">
        <f t="shared" si="22"/>
        <v>1.68735088</v>
      </c>
    </row>
    <row r="23">
      <c r="A23" s="15" t="str">
        <f>'Récap'!A23</f>
        <v>7854ad4022596904b137ebbb044e0bbbd2f590b0dac7f5a46d9991f3c049d647</v>
      </c>
      <c r="B23" s="3">
        <f t="shared" si="3"/>
        <v>1.850012796</v>
      </c>
      <c r="C23" s="3">
        <f t="shared" ref="C23:H23" si="23">(XLOOKUP($A23, INDIRECT("'"&amp;C$1&amp;"'!A:A"), INDIRECT("'"&amp;C$1&amp;"'!B:B"), "")-AVERAGE(INDIRECT("'"&amp;C$1&amp;"'!B2:B")))/STDEV(INDIRECT("'"&amp;C$1&amp;"'!B2:B"))</f>
        <v>2.221065976</v>
      </c>
      <c r="D23" s="3">
        <f t="shared" si="23"/>
        <v>0.3067031664</v>
      </c>
      <c r="E23" s="3">
        <f t="shared" si="23"/>
        <v>0.9452585176</v>
      </c>
      <c r="F23" s="3">
        <f t="shared" si="23"/>
        <v>-1.60546696</v>
      </c>
      <c r="G23" s="3">
        <f t="shared" si="23"/>
        <v>0.2788128719</v>
      </c>
      <c r="H23" s="3">
        <f t="shared" si="23"/>
        <v>-1.484679899</v>
      </c>
    </row>
    <row r="24">
      <c r="A24" s="15" t="str">
        <f>'Récap'!A24</f>
        <v>95e604186e18386f749a6d26e0868477c65803267b7c4d7bf606f77b8bbe1da4</v>
      </c>
      <c r="B24" s="3">
        <f t="shared" si="3"/>
        <v>0.5548117532</v>
      </c>
      <c r="C24" s="3">
        <f t="shared" ref="C24:H24" si="24">(XLOOKUP($A24, INDIRECT("'"&amp;C$1&amp;"'!A:A"), INDIRECT("'"&amp;C$1&amp;"'!B:B"), "")-AVERAGE(INDIRECT("'"&amp;C$1&amp;"'!B2:B")))/STDEV(INDIRECT("'"&amp;C$1&amp;"'!B2:B"))</f>
        <v>0.6719733968</v>
      </c>
      <c r="D24" s="3">
        <f t="shared" si="24"/>
        <v>0.9653607859</v>
      </c>
      <c r="E24" s="3">
        <f t="shared" si="24"/>
        <v>0.9452585176</v>
      </c>
      <c r="F24" s="3">
        <f t="shared" si="24"/>
        <v>-0.3411391022</v>
      </c>
      <c r="G24" s="3">
        <f t="shared" si="24"/>
        <v>-0.06909279904</v>
      </c>
      <c r="H24" s="3">
        <f t="shared" si="24"/>
        <v>-0.3189698248</v>
      </c>
    </row>
    <row r="25">
      <c r="A25" s="15" t="str">
        <f>'Récap'!A25</f>
        <v>fcf731e2be9a1377e7aed9c84be49e59ff2b3595fd86235d37d58011462b8fcf</v>
      </c>
      <c r="B25" s="3">
        <f t="shared" si="3"/>
        <v>1.850012796</v>
      </c>
      <c r="C25" s="3">
        <f t="shared" ref="C25:H25" si="25">(XLOOKUP($A25, INDIRECT("'"&amp;C$1&amp;"'!A:A"), INDIRECT("'"&amp;C$1&amp;"'!B:B"), "")-AVERAGE(INDIRECT("'"&amp;C$1&amp;"'!B2:B")))/STDEV(INDIRECT("'"&amp;C$1&amp;"'!B2:B"))</f>
        <v>2.135099553</v>
      </c>
      <c r="D25" s="3">
        <f t="shared" si="25"/>
        <v>-0.1637665619</v>
      </c>
      <c r="E25" s="3">
        <f t="shared" si="25"/>
        <v>0.0142144138</v>
      </c>
      <c r="F25" s="3">
        <f t="shared" si="25"/>
        <v>-1.60546696</v>
      </c>
      <c r="G25" s="3">
        <f t="shared" si="25"/>
        <v>0.005458416167</v>
      </c>
      <c r="H25" s="3">
        <f t="shared" si="25"/>
        <v>-1.484679899</v>
      </c>
    </row>
    <row r="26">
      <c r="A26" s="15" t="str">
        <f>'Récap'!A26</f>
        <v>d981675479ab443031cba32f40c3dca9e031547c59346a4c0ea7c624c054d936</v>
      </c>
      <c r="B26" s="3">
        <f t="shared" si="3"/>
        <v>1.080987177</v>
      </c>
      <c r="C26" s="3">
        <f t="shared" ref="C26:H26" si="26">(XLOOKUP($A26, INDIRECT("'"&amp;C$1&amp;"'!A:A"), INDIRECT("'"&amp;C$1&amp;"'!B:B"), "")-AVERAGE(INDIRECT("'"&amp;C$1&amp;"'!B2:B")))/STDEV(INDIRECT("'"&amp;C$1&amp;"'!B2:B"))</f>
        <v>1.096018608</v>
      </c>
      <c r="D26" s="3">
        <f t="shared" si="26"/>
        <v>0.1185152751</v>
      </c>
      <c r="E26" s="3">
        <f t="shared" si="26"/>
        <v>0.0142144138</v>
      </c>
      <c r="F26" s="3">
        <f t="shared" si="26"/>
        <v>-0.9130969424</v>
      </c>
      <c r="G26" s="3">
        <f t="shared" si="26"/>
        <v>-0.1837869763</v>
      </c>
      <c r="H26" s="3">
        <f t="shared" si="26"/>
        <v>-0.774072529</v>
      </c>
    </row>
    <row r="27">
      <c r="A27" s="15" t="str">
        <f>'Récap'!A27</f>
        <v>ad1624c5c3a02a3a3b3dcb044b912998b64ca2e7cd54abe79476f86a41a3234b</v>
      </c>
      <c r="B27" s="3">
        <f t="shared" si="3"/>
        <v>-1.226089681</v>
      </c>
      <c r="C27" s="3">
        <f t="shared" ref="C27:H27" si="27">(XLOOKUP($A27, INDIRECT("'"&amp;C$1&amp;"'!A:A"), INDIRECT("'"&amp;C$1&amp;"'!B:B"), "")-AVERAGE(INDIRECT("'"&amp;C$1&amp;"'!B2:B")))/STDEV(INDIRECT("'"&amp;C$1&amp;"'!B2:B"))</f>
        <v>-1.088641892</v>
      </c>
      <c r="D27" s="3">
        <f t="shared" si="27"/>
        <v>-0.5401423445</v>
      </c>
      <c r="E27" s="3">
        <f t="shared" si="27"/>
        <v>0.9452585176</v>
      </c>
      <c r="F27" s="3">
        <f t="shared" si="27"/>
        <v>1.164013109</v>
      </c>
      <c r="G27" s="3">
        <f t="shared" si="27"/>
        <v>1.918939606</v>
      </c>
      <c r="H27" s="3">
        <f t="shared" si="27"/>
        <v>0.8190419014</v>
      </c>
    </row>
    <row r="28">
      <c r="A28" s="15" t="str">
        <f>'Récap'!A28</f>
        <v>8c496c831c776415f7491e6de8457bb88c62eefeff270c8e0dbec39b78b9413d</v>
      </c>
      <c r="B28" s="3">
        <f t="shared" si="3"/>
        <v>-1.226089681</v>
      </c>
      <c r="C28" s="3">
        <f t="shared" ref="C28:H28" si="28">(XLOOKUP($A28, INDIRECT("'"&amp;C$1&amp;"'!A:A"), INDIRECT("'"&amp;C$1&amp;"'!B:B"), "")-AVERAGE(INDIRECT("'"&amp;C$1&amp;"'!B2:B")))/STDEV(INDIRECT("'"&amp;C$1&amp;"'!B2:B"))</f>
        <v>-1.088641892</v>
      </c>
      <c r="D28" s="3">
        <f t="shared" si="28"/>
        <v>-0.2578605075</v>
      </c>
      <c r="E28" s="3">
        <f t="shared" si="28"/>
        <v>0.9452585176</v>
      </c>
      <c r="F28" s="3">
        <f t="shared" si="28"/>
        <v>0.3331690884</v>
      </c>
      <c r="G28" s="3">
        <f t="shared" si="28"/>
        <v>1.007758087</v>
      </c>
      <c r="H28" s="3">
        <f t="shared" si="28"/>
        <v>0.5008101956</v>
      </c>
    </row>
    <row r="29">
      <c r="A29" s="15" t="str">
        <f>'Récap'!A29</f>
        <v>5e8589d4cd67c4b88f84e378d72875ccd07de5c9e20cc666bbf217de9d3567b4</v>
      </c>
      <c r="B29" s="3">
        <f t="shared" si="3"/>
        <v>-1.226089681</v>
      </c>
      <c r="C29" s="3">
        <f t="shared" ref="C29:H29" si="29">(XLOOKUP($A29, INDIRECT("'"&amp;C$1&amp;"'!A:A"), INDIRECT("'"&amp;C$1&amp;"'!B:B"), "")-AVERAGE(INDIRECT("'"&amp;C$1&amp;"'!B2:B")))/STDEV(INDIRECT("'"&amp;C$1&amp;"'!B2:B"))</f>
        <v>-1.088641892</v>
      </c>
      <c r="D29" s="3">
        <f t="shared" si="29"/>
        <v>0.9653607859</v>
      </c>
      <c r="E29" s="3">
        <f t="shared" si="29"/>
        <v>0.9452585176</v>
      </c>
      <c r="F29" s="3">
        <f t="shared" si="29"/>
        <v>1.204150501</v>
      </c>
      <c r="G29" s="3">
        <f t="shared" si="29"/>
        <v>-0.06909279904</v>
      </c>
      <c r="H29" s="3">
        <f t="shared" si="29"/>
        <v>0.9808471913</v>
      </c>
    </row>
    <row r="30">
      <c r="A30" s="15" t="str">
        <f>'Récap'!A30</f>
        <v>5d60fc4768a0d01e3d533d2d5353bdffb58877bc2971bc7053a54071fa4c2f49</v>
      </c>
      <c r="B30" s="3">
        <f t="shared" si="3"/>
        <v>-0.3716167706</v>
      </c>
      <c r="C30" s="3">
        <f t="shared" ref="C30:H30" si="30">(XLOOKUP($A30, INDIRECT("'"&amp;C$1&amp;"'!A:A"), INDIRECT("'"&amp;C$1&amp;"'!B:B"), "")-AVERAGE(INDIRECT("'"&amp;C$1&amp;"'!B2:B")))/STDEV(INDIRECT("'"&amp;C$1&amp;"'!B2:B"))</f>
        <v>-0.4483710069</v>
      </c>
      <c r="D30" s="3">
        <f t="shared" si="30"/>
        <v>1.153548677</v>
      </c>
      <c r="E30" s="3">
        <f t="shared" si="30"/>
        <v>0.9452585176</v>
      </c>
      <c r="F30" s="3">
        <f t="shared" si="30"/>
        <v>0.07468428198</v>
      </c>
      <c r="G30" s="3">
        <f t="shared" si="30"/>
        <v>-0.1312188117</v>
      </c>
      <c r="H30" s="3">
        <f t="shared" si="30"/>
        <v>0.1949857803</v>
      </c>
    </row>
    <row r="31">
      <c r="A31" s="15" t="str">
        <f>'Récap'!A31</f>
        <v>8630de5bd303be8b63ba99b787f0f5ed4422765c8917b234cb8a2af6b762ca1d</v>
      </c>
      <c r="B31" s="3">
        <f t="shared" si="3"/>
        <v>0.9271820531</v>
      </c>
      <c r="C31" s="3">
        <f t="shared" ref="C31:H31" si="31">(XLOOKUP($A31, INDIRECT("'"&amp;C$1&amp;"'!A:A"), INDIRECT("'"&amp;C$1&amp;"'!B:B"), "")-AVERAGE(INDIRECT("'"&amp;C$1&amp;"'!B2:B")))/STDEV(INDIRECT("'"&amp;C$1&amp;"'!B2:B"))</f>
        <v>1.083353904</v>
      </c>
      <c r="D31" s="3">
        <f t="shared" si="31"/>
        <v>-0.1637665619</v>
      </c>
      <c r="E31" s="3">
        <f t="shared" si="31"/>
        <v>0.9452585176</v>
      </c>
      <c r="F31" s="3">
        <f t="shared" si="31"/>
        <v>-0.7242687559</v>
      </c>
      <c r="G31" s="3">
        <f t="shared" si="31"/>
        <v>0.8255217834</v>
      </c>
      <c r="H31" s="3">
        <f t="shared" si="31"/>
        <v>-0.5802701723</v>
      </c>
    </row>
    <row r="32">
      <c r="A32" s="15" t="str">
        <f>'Récap'!A32</f>
        <v>88faa9b4e525ea83f6efab60ae88469da5222f0b0f52c16c3af4e4763baa1daf</v>
      </c>
      <c r="B32" s="3">
        <f t="shared" si="3"/>
        <v>-0.7134059347</v>
      </c>
      <c r="C32" s="3">
        <f t="shared" ref="C32:H32" si="32">(XLOOKUP($A32, INDIRECT("'"&amp;C$1&amp;"'!A:A"), INDIRECT("'"&amp;C$1&amp;"'!B:B"), "")-AVERAGE(INDIRECT("'"&amp;C$1&amp;"'!B2:B")))/STDEV(INDIRECT("'"&amp;C$1&amp;"'!B2:B"))</f>
        <v>-0.6946290534</v>
      </c>
      <c r="D32" s="3">
        <f t="shared" si="32"/>
        <v>0.1185152751</v>
      </c>
      <c r="E32" s="3">
        <f t="shared" si="32"/>
        <v>-0.91682969</v>
      </c>
      <c r="F32" s="3">
        <f t="shared" si="32"/>
        <v>0.4716430918</v>
      </c>
      <c r="G32" s="3">
        <f t="shared" si="32"/>
        <v>-0.8146049511</v>
      </c>
      <c r="H32" s="3">
        <f t="shared" si="32"/>
        <v>0.2841485781</v>
      </c>
    </row>
    <row r="33">
      <c r="A33" s="15" t="str">
        <f>'Récap'!A33</f>
        <v>fa7805c1d46ef49851de43750a665a993eef750b560159967106d3b96821759c</v>
      </c>
      <c r="B33" s="3">
        <f t="shared" si="3"/>
        <v>0.3119615576</v>
      </c>
      <c r="C33" s="3">
        <f t="shared" ref="C33:H33" si="33">(XLOOKUP($A33, INDIRECT("'"&amp;C$1&amp;"'!A:A"), INDIRECT("'"&amp;C$1&amp;"'!B:B"), "")-AVERAGE(INDIRECT("'"&amp;C$1&amp;"'!B2:B")))/STDEV(INDIRECT("'"&amp;C$1&amp;"'!B2:B"))</f>
        <v>0.1180224469</v>
      </c>
      <c r="D33" s="3">
        <f t="shared" si="33"/>
        <v>0.400797112</v>
      </c>
      <c r="E33" s="3">
        <f t="shared" si="33"/>
        <v>0.0142144138</v>
      </c>
      <c r="F33" s="3">
        <f t="shared" si="33"/>
        <v>-0.2750304561</v>
      </c>
      <c r="G33" s="3">
        <f t="shared" si="33"/>
        <v>-0.3020653466</v>
      </c>
      <c r="H33" s="3">
        <f t="shared" si="33"/>
        <v>-0.3521761277</v>
      </c>
    </row>
    <row r="34">
      <c r="A34" s="15" t="str">
        <f>'Récap'!A34</f>
        <v>080e819b7f2ec7fdf5df10abc0092a6ae39db49584244ea555a9ce18c8d57c53</v>
      </c>
      <c r="B34" s="3">
        <f t="shared" si="3"/>
        <v>1.080987177</v>
      </c>
      <c r="C34" s="3">
        <f t="shared" ref="C34:H34" si="34">(XLOOKUP($A34, INDIRECT("'"&amp;C$1&amp;"'!A:A"), INDIRECT("'"&amp;C$1&amp;"'!B:B"), "")-AVERAGE(INDIRECT("'"&amp;C$1&amp;"'!B2:B")))/STDEV(INDIRECT("'"&amp;C$1&amp;"'!B2:B"))</f>
        <v>0.9060481249</v>
      </c>
      <c r="D34" s="3">
        <f t="shared" si="34"/>
        <v>-0.7283302358</v>
      </c>
      <c r="E34" s="3">
        <f t="shared" si="34"/>
        <v>-0.91682969</v>
      </c>
      <c r="F34" s="3">
        <f t="shared" si="34"/>
        <v>-0.9592549436</v>
      </c>
      <c r="G34" s="3">
        <f t="shared" si="34"/>
        <v>-0.8146049511</v>
      </c>
      <c r="H34" s="3">
        <f t="shared" si="34"/>
        <v>-0.7582811282</v>
      </c>
    </row>
    <row r="35">
      <c r="A35" s="15" t="str">
        <f>'Récap'!A35</f>
        <v>effa5fafd71a87510e477792561dc4c6a0d7a624d93f5ee78db77ac7c2a41d63</v>
      </c>
      <c r="B35" s="3">
        <f t="shared" si="3"/>
        <v>-0.5669248644</v>
      </c>
      <c r="C35" s="3">
        <f t="shared" ref="C35:H35" si="35">(XLOOKUP($A35, INDIRECT("'"&amp;C$1&amp;"'!A:A"), INDIRECT("'"&amp;C$1&amp;"'!B:B"), "")-AVERAGE(INDIRECT("'"&amp;C$1&amp;"'!B2:B")))/STDEV(INDIRECT("'"&amp;C$1&amp;"'!B2:B"))</f>
        <v>-0.5145088995</v>
      </c>
      <c r="D35" s="3">
        <f t="shared" si="35"/>
        <v>1.906300242</v>
      </c>
      <c r="E35" s="3">
        <f t="shared" si="35"/>
        <v>0.0142144138</v>
      </c>
      <c r="F35" s="3">
        <f t="shared" si="35"/>
        <v>0.6464840052</v>
      </c>
      <c r="G35" s="3">
        <f t="shared" si="35"/>
        <v>-0.5583351488</v>
      </c>
      <c r="H35" s="3">
        <f t="shared" si="35"/>
        <v>0.5369243091</v>
      </c>
    </row>
    <row r="36">
      <c r="A36" s="15" t="str">
        <f>'Récap'!A36</f>
        <v>eefcecf5c7183df8d369a35df238dd9fd990564264dcadc7bafacbafbef888ac</v>
      </c>
      <c r="B36" s="3">
        <f t="shared" si="3"/>
        <v>1.850012796</v>
      </c>
      <c r="C36" s="3">
        <f t="shared" ref="C36:H36" si="36">(XLOOKUP($A36, INDIRECT("'"&amp;C$1&amp;"'!A:A"), INDIRECT("'"&amp;C$1&amp;"'!B:B"), "")-AVERAGE(INDIRECT("'"&amp;C$1&amp;"'!B2:B")))/STDEV(INDIRECT("'"&amp;C$1&amp;"'!B2:B"))</f>
        <v>1.866454418</v>
      </c>
      <c r="D36" s="3">
        <f t="shared" si="36"/>
        <v>-0.6342362901</v>
      </c>
      <c r="E36" s="3">
        <f t="shared" si="36"/>
        <v>-0.91682969</v>
      </c>
      <c r="F36" s="3">
        <f t="shared" si="36"/>
        <v>-1.60546696</v>
      </c>
      <c r="G36" s="3">
        <f t="shared" si="36"/>
        <v>-0.8146049511</v>
      </c>
      <c r="H36" s="3">
        <f t="shared" si="36"/>
        <v>-1.484679899</v>
      </c>
    </row>
    <row r="37">
      <c r="A37" s="15" t="str">
        <f>'Récap'!A37</f>
        <v>23d73ca299f02110f10fe0b18902fd2ea5ad124d3a061f110083353b3899c369</v>
      </c>
      <c r="B37" s="3">
        <f t="shared" si="3"/>
        <v>-0.3472032589</v>
      </c>
      <c r="C37" s="3">
        <f t="shared" ref="C37:H37" si="37">(XLOOKUP($A37, INDIRECT("'"&amp;C$1&amp;"'!A:A"), INDIRECT("'"&amp;C$1&amp;"'!B:B"), "")-AVERAGE(INDIRECT("'"&amp;C$1&amp;"'!B2:B")))/STDEV(INDIRECT("'"&amp;C$1&amp;"'!B2:B"))</f>
        <v>-0.4976226162</v>
      </c>
      <c r="D37" s="3">
        <f t="shared" si="37"/>
        <v>0.4948910577</v>
      </c>
      <c r="E37" s="3">
        <f t="shared" si="37"/>
        <v>0.9452585176</v>
      </c>
      <c r="F37" s="3">
        <f t="shared" si="37"/>
        <v>0.1895664182</v>
      </c>
      <c r="G37" s="3">
        <f t="shared" si="37"/>
        <v>0.150175481</v>
      </c>
      <c r="H37" s="3">
        <f t="shared" si="37"/>
        <v>0.01856200576</v>
      </c>
    </row>
    <row r="38">
      <c r="A38" s="15" t="str">
        <f>'Récap'!A38</f>
        <v>753b3dfbf00b265816877af61db67c39ee3fae2b4e0a7b8f387b5163ff85b1bc</v>
      </c>
      <c r="B38" s="3">
        <f t="shared" si="3"/>
        <v>-1.226089681</v>
      </c>
      <c r="C38" s="3">
        <f t="shared" ref="C38:H38" si="38">(XLOOKUP($A38, INDIRECT("'"&amp;C$1&amp;"'!A:A"), INDIRECT("'"&amp;C$1&amp;"'!B:B"), "")-AVERAGE(INDIRECT("'"&amp;C$1&amp;"'!B2:B")))/STDEV(INDIRECT("'"&amp;C$1&amp;"'!B2:B"))</f>
        <v>-1.088641892</v>
      </c>
      <c r="D38" s="3">
        <f t="shared" si="38"/>
        <v>-0.3519544532</v>
      </c>
      <c r="E38" s="3">
        <f t="shared" si="38"/>
        <v>1.876302621</v>
      </c>
      <c r="F38" s="3">
        <f t="shared" si="38"/>
        <v>0.5485730937</v>
      </c>
      <c r="G38" s="3">
        <f t="shared" si="38"/>
        <v>2.260632676</v>
      </c>
      <c r="H38" s="3">
        <f t="shared" si="38"/>
        <v>0.1845699484</v>
      </c>
    </row>
    <row r="39">
      <c r="A39" s="15" t="str">
        <f>'Récap'!A39</f>
        <v>bd7739509fa70c858197ea24926c2c696b797f60240eac8fe389b1d67ce663be</v>
      </c>
      <c r="B39" s="3">
        <f t="shared" si="3"/>
        <v>1.234792301</v>
      </c>
      <c r="C39" s="3">
        <f t="shared" ref="C39:H39" si="39">(XLOOKUP($A39, INDIRECT("'"&amp;C$1&amp;"'!A:A"), INDIRECT("'"&amp;C$1&amp;"'!B:B"), "")-AVERAGE(INDIRECT("'"&amp;C$1&amp;"'!B2:B")))/STDEV(INDIRECT("'"&amp;C$1&amp;"'!B2:B"))</f>
        <v>0.8026197418</v>
      </c>
      <c r="D39" s="3">
        <f t="shared" si="39"/>
        <v>-0.5401423445</v>
      </c>
      <c r="E39" s="3">
        <f t="shared" si="39"/>
        <v>-0.91682969</v>
      </c>
      <c r="F39" s="3">
        <f t="shared" si="39"/>
        <v>-1.143886948</v>
      </c>
      <c r="G39" s="3">
        <f t="shared" si="39"/>
        <v>-0.8146049511</v>
      </c>
      <c r="H39" s="3">
        <f t="shared" si="39"/>
        <v>-1.297891649</v>
      </c>
    </row>
    <row r="40">
      <c r="A40" s="15" t="str">
        <f>'Récap'!A40</f>
        <v>cf13a4b65841c7dceb8412708517c5be0cdedb328ac511655c4a95ee813d548b</v>
      </c>
      <c r="B40" s="3">
        <f t="shared" si="3"/>
        <v>0.3119615576</v>
      </c>
      <c r="C40" s="3">
        <f t="shared" ref="C40:H40" si="40">(XLOOKUP($A40, INDIRECT("'"&amp;C$1&amp;"'!A:A"), INDIRECT("'"&amp;C$1&amp;"'!B:B"), "")-AVERAGE(INDIRECT("'"&amp;C$1&amp;"'!B2:B")))/STDEV(INDIRECT("'"&amp;C$1&amp;"'!B2:B"))</f>
        <v>0.09339662454</v>
      </c>
      <c r="D40" s="3">
        <f t="shared" si="40"/>
        <v>-0.7283302358</v>
      </c>
      <c r="E40" s="3">
        <f t="shared" si="40"/>
        <v>-0.91682969</v>
      </c>
      <c r="F40" s="3">
        <f t="shared" si="40"/>
        <v>-0.3130429276</v>
      </c>
      <c r="G40" s="3">
        <f t="shared" si="40"/>
        <v>-0.8146049511</v>
      </c>
      <c r="H40" s="3">
        <f t="shared" si="40"/>
        <v>-0.03188235736</v>
      </c>
    </row>
    <row r="41">
      <c r="A41" s="15" t="str">
        <f>'Récap'!A41</f>
        <v>53b87d41de61b0eb5ef6562222f1f3bcd5b5ce1da053e57f47b6ed23d7aa8502</v>
      </c>
      <c r="B41" s="3">
        <f t="shared" si="3"/>
        <v>0.5580497558</v>
      </c>
      <c r="C41" s="3">
        <f t="shared" ref="C41:H41" si="41">(XLOOKUP($A41, INDIRECT("'"&amp;C$1&amp;"'!A:A"), INDIRECT("'"&amp;C$1&amp;"'!B:B"), "")-AVERAGE(INDIRECT("'"&amp;C$1&amp;"'!B2:B")))/STDEV(INDIRECT("'"&amp;C$1&amp;"'!B2:B"))</f>
        <v>0.7502056711</v>
      </c>
      <c r="D41" s="3">
        <f t="shared" si="41"/>
        <v>4.446836775</v>
      </c>
      <c r="E41" s="3">
        <f t="shared" si="41"/>
        <v>0.0142144138</v>
      </c>
      <c r="F41" s="3">
        <f t="shared" si="41"/>
        <v>-0.2053409249</v>
      </c>
      <c r="G41" s="3">
        <f t="shared" si="41"/>
        <v>-0.67561116</v>
      </c>
      <c r="H41" s="3">
        <f t="shared" si="41"/>
        <v>0.03513653707</v>
      </c>
    </row>
    <row r="42">
      <c r="A42" s="15" t="str">
        <f>'Récap'!A42</f>
        <v>d24b87329bb09b449a89676a4e96858c289cdfad521c03fb9ce166a83aceb603</v>
      </c>
      <c r="B42" s="3">
        <f t="shared" si="3"/>
        <v>0.3119615576</v>
      </c>
      <c r="C42" s="3">
        <f t="shared" ref="C42:H42" si="42">(XLOOKUP($A42, INDIRECT("'"&amp;C$1&amp;"'!A:A"), INDIRECT("'"&amp;C$1&amp;"'!B:B"), "")-AVERAGE(INDIRECT("'"&amp;C$1&amp;"'!B2:B")))/STDEV(INDIRECT("'"&amp;C$1&amp;"'!B2:B"))</f>
        <v>-0.2021129958</v>
      </c>
      <c r="D42" s="3">
        <f t="shared" si="42"/>
        <v>-0.7283302358</v>
      </c>
      <c r="E42" s="3">
        <f t="shared" si="42"/>
        <v>0.0142144138</v>
      </c>
      <c r="F42" s="3">
        <f t="shared" si="42"/>
        <v>-0.9592549436</v>
      </c>
      <c r="G42" s="3">
        <f t="shared" si="42"/>
        <v>1.235553467</v>
      </c>
      <c r="H42" s="3">
        <f t="shared" si="42"/>
        <v>-0.7582811282</v>
      </c>
    </row>
    <row r="43">
      <c r="A43" s="15" t="str">
        <f>'Récap'!A43</f>
        <v>0973288c77f97c9245c444f90526bc6137bc40b48200197fd5bb6134f618f165</v>
      </c>
      <c r="B43" s="3">
        <f t="shared" si="3"/>
        <v>-0.8415768713</v>
      </c>
      <c r="C43" s="3">
        <f t="shared" ref="C43:H43" si="43">(XLOOKUP($A43, INDIRECT("'"&amp;C$1&amp;"'!A:A"), INDIRECT("'"&amp;C$1&amp;"'!B:B"), "")-AVERAGE(INDIRECT("'"&amp;C$1&amp;"'!B2:B")))/STDEV(INDIRECT("'"&amp;C$1&amp;"'!B2:B"))</f>
        <v>-0.8670096682</v>
      </c>
      <c r="D43" s="3">
        <f t="shared" si="43"/>
        <v>0.3067031664</v>
      </c>
      <c r="E43" s="3">
        <f t="shared" si="43"/>
        <v>-0.91682969</v>
      </c>
      <c r="F43" s="3">
        <f t="shared" si="43"/>
        <v>1.019769355</v>
      </c>
      <c r="G43" s="3">
        <f t="shared" si="43"/>
        <v>-0.8146049511</v>
      </c>
      <c r="H43" s="3">
        <f t="shared" si="43"/>
        <v>1.223776914</v>
      </c>
    </row>
    <row r="44">
      <c r="A44" s="15" t="str">
        <f>'Récap'!A44</f>
        <v>9181e670a018653889d5263448f199379588274b90c51348445093423b56396b</v>
      </c>
      <c r="B44" s="3">
        <f t="shared" si="3"/>
        <v>-0.5852349982</v>
      </c>
      <c r="C44" s="3">
        <f t="shared" ref="C44:H44" si="44">(XLOOKUP($A44, INDIRECT("'"&amp;C$1&amp;"'!A:A"), INDIRECT("'"&amp;C$1&amp;"'!B:B"), "")-AVERAGE(INDIRECT("'"&amp;C$1&amp;"'!B2:B")))/STDEV(INDIRECT("'"&amp;C$1&amp;"'!B2:B"))</f>
        <v>-0.6084387283</v>
      </c>
      <c r="D44" s="3">
        <f t="shared" si="44"/>
        <v>1.718112351</v>
      </c>
      <c r="E44" s="3">
        <f t="shared" si="44"/>
        <v>-0.91682969</v>
      </c>
      <c r="F44" s="3">
        <f t="shared" si="44"/>
        <v>0.3748601862</v>
      </c>
      <c r="G44" s="3">
        <f t="shared" si="44"/>
        <v>-0.8146049511</v>
      </c>
      <c r="H44" s="3">
        <f t="shared" si="44"/>
        <v>0.3383749364</v>
      </c>
    </row>
    <row r="45">
      <c r="A45" s="15" t="str">
        <f>'Récap'!A45</f>
        <v>0ff8e00eabc873cbfaa0832c3aa0e4a4b03e6f72593a71ecf7e5b2e4d0c82e06</v>
      </c>
      <c r="B45" s="3">
        <f t="shared" si="3"/>
        <v>-1.226089681</v>
      </c>
      <c r="C45" s="3">
        <f t="shared" ref="C45:H45" si="45">(XLOOKUP($A45, INDIRECT("'"&amp;C$1&amp;"'!A:A"), INDIRECT("'"&amp;C$1&amp;"'!B:B"), "")-AVERAGE(INDIRECT("'"&amp;C$1&amp;"'!B2:B")))/STDEV(INDIRECT("'"&amp;C$1&amp;"'!B2:B"))</f>
        <v>-1.088641892</v>
      </c>
      <c r="D45" s="3">
        <f t="shared" si="45"/>
        <v>0.2126092207</v>
      </c>
      <c r="E45" s="3">
        <f t="shared" si="45"/>
        <v>-0.91682969</v>
      </c>
      <c r="F45" s="3">
        <f t="shared" si="45"/>
        <v>1.19478511</v>
      </c>
      <c r="G45" s="3">
        <f t="shared" si="45"/>
        <v>-0.8146049511</v>
      </c>
      <c r="H45" s="3">
        <f t="shared" si="45"/>
        <v>1.513877048</v>
      </c>
    </row>
    <row r="46">
      <c r="A46" s="15" t="str">
        <f>'Récap'!A46</f>
        <v>fe48d6db483ac4bd61b017d826272e803a5ba40fca9dcc14ce181a1331e1fa18</v>
      </c>
      <c r="B46" s="3">
        <f t="shared" si="3"/>
        <v>1.33732905</v>
      </c>
      <c r="C46" s="3">
        <f t="shared" ref="C46:H46" si="46">(XLOOKUP($A46, INDIRECT("'"&amp;C$1&amp;"'!A:A"), INDIRECT("'"&amp;C$1&amp;"'!B:B"), "")-AVERAGE(INDIRECT("'"&amp;C$1&amp;"'!B2:B")))/STDEV(INDIRECT("'"&amp;C$1&amp;"'!B2:B"))</f>
        <v>1.37393836</v>
      </c>
      <c r="D46" s="3">
        <f t="shared" si="46"/>
        <v>-0.5401423445</v>
      </c>
      <c r="E46" s="3">
        <f t="shared" si="46"/>
        <v>-0.91682969</v>
      </c>
      <c r="F46" s="3">
        <f t="shared" si="46"/>
        <v>-1.143886948</v>
      </c>
      <c r="G46" s="3">
        <f t="shared" si="46"/>
        <v>-0.8146049511</v>
      </c>
      <c r="H46" s="3">
        <f t="shared" si="46"/>
        <v>-1.114068123</v>
      </c>
    </row>
    <row r="47">
      <c r="A47" s="15" t="str">
        <f>'Récap'!A47</f>
        <v>c8d01afd1e4a742fb48896441f92f6f4f1c21f02b0059b58f21e1c6efb099eb2</v>
      </c>
      <c r="B47" s="3">
        <f t="shared" si="3"/>
        <v>-0.04297334356</v>
      </c>
      <c r="C47" s="3">
        <f t="shared" ref="C47:H47" si="47">(XLOOKUP($A47, INDIRECT("'"&amp;C$1&amp;"'!A:A"), INDIRECT("'"&amp;C$1&amp;"'!B:B"), "")-AVERAGE(INDIRECT("'"&amp;C$1&amp;"'!B2:B")))/STDEV(INDIRECT("'"&amp;C$1&amp;"'!B2:B"))</f>
        <v>-0.04867530492</v>
      </c>
      <c r="D47" s="3">
        <f t="shared" si="47"/>
        <v>1.624018405</v>
      </c>
      <c r="E47" s="3">
        <f t="shared" si="47"/>
        <v>0.9452585176</v>
      </c>
      <c r="F47" s="3">
        <f t="shared" si="47"/>
        <v>-0.3130429276</v>
      </c>
      <c r="G47" s="3">
        <f t="shared" si="47"/>
        <v>-0.2490440082</v>
      </c>
      <c r="H47" s="3">
        <f t="shared" si="47"/>
        <v>-0.4957240382</v>
      </c>
    </row>
    <row r="48">
      <c r="A48" s="15" t="str">
        <f>'Récap'!A48</f>
        <v>d3f0d126711eb978e948a2cbeb9c2b2b0ffa79541fe717c41575d91f5e21aa61</v>
      </c>
      <c r="B48" s="3">
        <f t="shared" si="3"/>
        <v>-1.226089681</v>
      </c>
      <c r="C48" s="3">
        <f t="shared" ref="C48:H48" si="48">(XLOOKUP($A48, INDIRECT("'"&amp;C$1&amp;"'!A:A"), INDIRECT("'"&amp;C$1&amp;"'!B:B"), "")-AVERAGE(INDIRECT("'"&amp;C$1&amp;"'!B2:B")))/STDEV(INDIRECT("'"&amp;C$1&amp;"'!B2:B"))</f>
        <v>-1.088641892</v>
      </c>
      <c r="D48" s="3">
        <f t="shared" si="48"/>
        <v>0.4948910577</v>
      </c>
      <c r="E48" s="3">
        <f t="shared" si="48"/>
        <v>0.9452585176</v>
      </c>
      <c r="F48" s="3">
        <f t="shared" si="48"/>
        <v>1.266586445</v>
      </c>
      <c r="G48" s="3">
        <f t="shared" si="48"/>
        <v>0.150175481</v>
      </c>
      <c r="H48" s="3">
        <f t="shared" si="48"/>
        <v>1.395766242</v>
      </c>
    </row>
    <row r="49">
      <c r="A49" s="15" t="str">
        <f>'Récap'!A49</f>
        <v>f8461dec16e4e6cc62d1cadd424373bdf634bdc01764d3df74cd9fff9658baff</v>
      </c>
      <c r="B49" s="3">
        <f t="shared" si="3"/>
        <v>0.7314300772</v>
      </c>
      <c r="C49" s="3">
        <f t="shared" ref="C49:H49" si="49">(XLOOKUP($A49, INDIRECT("'"&amp;C$1&amp;"'!A:A"), INDIRECT("'"&amp;C$1&amp;"'!B:B"), "")-AVERAGE(INDIRECT("'"&amp;C$1&amp;"'!B2:B")))/STDEV(INDIRECT("'"&amp;C$1&amp;"'!B2:B"))</f>
        <v>0.6859510142</v>
      </c>
      <c r="D49" s="3">
        <f t="shared" si="49"/>
        <v>1.52992446</v>
      </c>
      <c r="E49" s="3">
        <f t="shared" si="49"/>
        <v>-0.91682969</v>
      </c>
      <c r="F49" s="3">
        <f t="shared" si="49"/>
        <v>-0.4913083113</v>
      </c>
      <c r="G49" s="3">
        <f t="shared" si="49"/>
        <v>-0.8146049511</v>
      </c>
      <c r="H49" s="3">
        <f t="shared" si="49"/>
        <v>-0.4160459745</v>
      </c>
    </row>
    <row r="50">
      <c r="A50" s="15" t="str">
        <f>'Récap'!A50</f>
        <v>4557b3c2bc31d36048e3c48befc7212d35b7d0d885d3d1f102c9060238b5090a</v>
      </c>
      <c r="B50" s="3">
        <f t="shared" si="3"/>
        <v>0.9035197263</v>
      </c>
      <c r="C50" s="3">
        <f t="shared" ref="C50:H50" si="50">(XLOOKUP($A50, INDIRECT("'"&amp;C$1&amp;"'!A:A"), INDIRECT("'"&amp;C$1&amp;"'!B:B"), "")-AVERAGE(INDIRECT("'"&amp;C$1&amp;"'!B2:B")))/STDEV(INDIRECT("'"&amp;C$1&amp;"'!B2:B"))</f>
        <v>0.987502719</v>
      </c>
      <c r="D50" s="3">
        <f t="shared" si="50"/>
        <v>0.2126092207</v>
      </c>
      <c r="E50" s="3">
        <f t="shared" si="50"/>
        <v>0.0142144138</v>
      </c>
      <c r="F50" s="3">
        <f t="shared" si="50"/>
        <v>-0.7438509383</v>
      </c>
      <c r="G50" s="3">
        <f t="shared" si="50"/>
        <v>-0.228845403</v>
      </c>
      <c r="H50" s="3">
        <f t="shared" si="50"/>
        <v>-0.684588445</v>
      </c>
    </row>
    <row r="51">
      <c r="A51" s="15" t="str">
        <f>'Récap'!A51</f>
        <v>33d11b837cec96010145671e6661210fd68f3004627f8929038256ca7a8d8ebf</v>
      </c>
      <c r="B51" s="3">
        <f t="shared" si="3"/>
        <v>-1.226089681</v>
      </c>
      <c r="C51" s="3">
        <f t="shared" ref="C51:H51" si="51">(XLOOKUP($A51, INDIRECT("'"&amp;C$1&amp;"'!A:A"), INDIRECT("'"&amp;C$1&amp;"'!B:B"), "")-AVERAGE(INDIRECT("'"&amp;C$1&amp;"'!B2:B")))/STDEV(INDIRECT("'"&amp;C$1&amp;"'!B2:B"))</f>
        <v>-1.088641892</v>
      </c>
      <c r="D51" s="3">
        <f t="shared" si="51"/>
        <v>-0.1637665619</v>
      </c>
      <c r="E51" s="3">
        <f t="shared" si="51"/>
        <v>0.0142144138</v>
      </c>
      <c r="F51" s="3">
        <f t="shared" si="51"/>
        <v>1.038127651</v>
      </c>
      <c r="G51" s="3">
        <f t="shared" si="51"/>
        <v>0.005458416167</v>
      </c>
      <c r="H51" s="3">
        <f t="shared" si="51"/>
        <v>-0.2594538307</v>
      </c>
    </row>
    <row r="52">
      <c r="A52" s="15" t="str">
        <f>'Récap'!A52</f>
        <v>60dc13afd9db46855db7cb4b46b2429c473ae61d93c867bb13914cc0ee137a78</v>
      </c>
      <c r="B52" s="3">
        <f t="shared" si="3"/>
        <v>-1.055195099</v>
      </c>
      <c r="C52" s="3">
        <f t="shared" ref="C52:H52" si="52">(XLOOKUP($A52, INDIRECT("'"&amp;C$1&amp;"'!A:A"), INDIRECT("'"&amp;C$1&amp;"'!B:B"), "")-AVERAGE(INDIRECT("'"&amp;C$1&amp;"'!B2:B")))/STDEV(INDIRECT("'"&amp;C$1&amp;"'!B2:B"))</f>
        <v>-0.9901386738</v>
      </c>
      <c r="D52" s="3">
        <f t="shared" si="52"/>
        <v>0.7771728946</v>
      </c>
      <c r="E52" s="3">
        <f t="shared" si="52"/>
        <v>0.9452585176</v>
      </c>
      <c r="F52" s="3">
        <f t="shared" si="52"/>
        <v>1.010153105</v>
      </c>
      <c r="G52" s="3">
        <f t="shared" si="52"/>
        <v>0.005458416167</v>
      </c>
      <c r="H52" s="3">
        <f t="shared" si="52"/>
        <v>-0.3305953287</v>
      </c>
    </row>
    <row r="53">
      <c r="A53" s="15" t="str">
        <f>'Récap'!A53</f>
        <v>0685c8001a43b03e0a155e1afa0c7bec2f4e82d24f7ce4843b25a441c45dd335</v>
      </c>
      <c r="B53" s="3">
        <f t="shared" si="3"/>
        <v>-1.226089681</v>
      </c>
      <c r="C53" s="3">
        <f t="shared" ref="C53:H53" si="53">(XLOOKUP($A53, INDIRECT("'"&amp;C$1&amp;"'!A:A"), INDIRECT("'"&amp;C$1&amp;"'!B:B"), "")-AVERAGE(INDIRECT("'"&amp;C$1&amp;"'!B2:B")))/STDEV(INDIRECT("'"&amp;C$1&amp;"'!B2:B"))</f>
        <v>-1.088641892</v>
      </c>
      <c r="D53" s="3">
        <f t="shared" si="53"/>
        <v>-0.8224241815</v>
      </c>
      <c r="E53" s="3">
        <f t="shared" si="53"/>
        <v>-0.91682969</v>
      </c>
      <c r="F53" s="3">
        <f t="shared" si="53"/>
        <v>1.62559312</v>
      </c>
      <c r="G53" s="3">
        <f t="shared" si="53"/>
        <v>-0.8146049511</v>
      </c>
      <c r="H53" s="3">
        <f t="shared" si="53"/>
        <v>1.98940031</v>
      </c>
    </row>
    <row r="54">
      <c r="A54" s="15" t="str">
        <f>'Récap'!A54</f>
        <v>6d7f68c6bb26c8342bf3a3e21bb30c4a24aa6ccd9d3319af32684e6641052dcd</v>
      </c>
      <c r="B54" s="3">
        <f t="shared" si="3"/>
        <v>-0.2007221885</v>
      </c>
      <c r="C54" s="3">
        <f t="shared" ref="C54:H54" si="54">(XLOOKUP($A54, INDIRECT("'"&amp;C$1&amp;"'!A:A"), INDIRECT("'"&amp;C$1&amp;"'!B:B"), "")-AVERAGE(INDIRECT("'"&amp;C$1&amp;"'!B2:B")))/STDEV(INDIRECT("'"&amp;C$1&amp;"'!B2:B"))</f>
        <v>-0.4976226162</v>
      </c>
      <c r="D54" s="3">
        <f t="shared" si="54"/>
        <v>-0.5401423445</v>
      </c>
      <c r="E54" s="3">
        <f t="shared" si="54"/>
        <v>-0.91682969</v>
      </c>
      <c r="F54" s="3">
        <f t="shared" si="54"/>
        <v>-0.2207269253</v>
      </c>
      <c r="G54" s="3">
        <f t="shared" si="54"/>
        <v>-0.8146049511</v>
      </c>
      <c r="H54" s="3">
        <f t="shared" si="54"/>
        <v>-0.03929474834</v>
      </c>
    </row>
    <row r="55">
      <c r="A55" s="15" t="str">
        <f>'Récap'!A55</f>
        <v>6b6e8c7036722d03a34126403e7106d3512a2d4b72bcd8bde651614e8ad42d7b</v>
      </c>
      <c r="B55" s="3">
        <f t="shared" si="3"/>
        <v>-0.4570640616</v>
      </c>
      <c r="C55" s="3">
        <f t="shared" ref="C55:H55" si="55">(XLOOKUP($A55, INDIRECT("'"&amp;C$1&amp;"'!A:A"), INDIRECT("'"&amp;C$1&amp;"'!B:B"), "")-AVERAGE(INDIRECT("'"&amp;C$1&amp;"'!B2:B")))/STDEV(INDIRECT("'"&amp;C$1&amp;"'!B2:B"))</f>
        <v>-0.6453774441</v>
      </c>
      <c r="D55" s="3">
        <f t="shared" si="55"/>
        <v>-0.6342362901</v>
      </c>
      <c r="E55" s="3">
        <f t="shared" si="55"/>
        <v>0.0142144138</v>
      </c>
      <c r="F55" s="3">
        <f t="shared" si="55"/>
        <v>0.5485730937</v>
      </c>
      <c r="G55" s="3">
        <f t="shared" si="55"/>
        <v>0.8255217834</v>
      </c>
      <c r="H55" s="3">
        <f t="shared" si="55"/>
        <v>0.8069350858</v>
      </c>
    </row>
    <row r="56">
      <c r="A56" s="15" t="str">
        <f>'Récap'!A56</f>
        <v>aeff5cdc8c731a2b16beb6f260aeeca455401bc2ddb229aa87a464475f95b1ca</v>
      </c>
      <c r="B56" s="3">
        <f t="shared" si="3"/>
        <v>1.850012796</v>
      </c>
      <c r="C56" s="3">
        <f t="shared" ref="C56:H56" si="56">(XLOOKUP($A56, INDIRECT("'"&amp;C$1&amp;"'!A:A"), INDIRECT("'"&amp;C$1&amp;"'!B:B"), "")-AVERAGE(INDIRECT("'"&amp;C$1&amp;"'!B2:B")))/STDEV(INDIRECT("'"&amp;C$1&amp;"'!B2:B"))</f>
        <v>1.570944797</v>
      </c>
      <c r="D56" s="3">
        <f t="shared" si="56"/>
        <v>-0.8224241815</v>
      </c>
      <c r="E56" s="3">
        <f t="shared" si="56"/>
        <v>0.0142144138</v>
      </c>
      <c r="F56" s="3">
        <f t="shared" si="56"/>
        <v>-1.60546696</v>
      </c>
      <c r="G56" s="3">
        <f t="shared" si="56"/>
        <v>1.918939606</v>
      </c>
      <c r="H56" s="3">
        <f t="shared" si="56"/>
        <v>-1.484679899</v>
      </c>
    </row>
    <row r="57">
      <c r="A57" s="15" t="str">
        <f>'Récap'!A57</f>
        <v>69ea8e8a316c3f982db0286a71ca33c251b858994e27bb848e628967df9d15f9</v>
      </c>
      <c r="B57" s="3">
        <f t="shared" si="3"/>
        <v>-1.226089681</v>
      </c>
      <c r="C57" s="3">
        <f t="shared" ref="C57:H57" si="57">(XLOOKUP($A57, INDIRECT("'"&amp;C$1&amp;"'!A:A"), INDIRECT("'"&amp;C$1&amp;"'!B:B"), "")-AVERAGE(INDIRECT("'"&amp;C$1&amp;"'!B2:B")))/STDEV(INDIRECT("'"&amp;C$1&amp;"'!B2:B"))</f>
        <v>-1.088641892</v>
      </c>
      <c r="D57" s="3">
        <f t="shared" si="57"/>
        <v>-0.8224241815</v>
      </c>
      <c r="E57" s="3">
        <f t="shared" si="57"/>
        <v>0.9452585176</v>
      </c>
      <c r="F57" s="3">
        <f t="shared" si="57"/>
        <v>1.62559312</v>
      </c>
      <c r="G57" s="3">
        <f t="shared" si="57"/>
        <v>4.652484164</v>
      </c>
      <c r="H57" s="3">
        <f t="shared" si="57"/>
        <v>1.887886082</v>
      </c>
    </row>
    <row r="58">
      <c r="A58" s="15" t="str">
        <f>'Récap'!A58</f>
        <v>a000fa4903a3a8290435e1735ea6773bf2f2a14d1b5e564b6ab0e060b8e38688</v>
      </c>
      <c r="B58" s="3">
        <f t="shared" si="3"/>
        <v>0.8246453038</v>
      </c>
      <c r="C58" s="3">
        <f t="shared" ref="C58:H58" si="58">(XLOOKUP($A58, INDIRECT("'"&amp;C$1&amp;"'!A:A"), INDIRECT("'"&amp;C$1&amp;"'!B:B"), "")-AVERAGE(INDIRECT("'"&amp;C$1&amp;"'!B2:B")))/STDEV(INDIRECT("'"&amp;C$1&amp;"'!B2:B"))</f>
        <v>0.9377098661</v>
      </c>
      <c r="D58" s="3">
        <f t="shared" si="58"/>
        <v>0.02442132941</v>
      </c>
      <c r="E58" s="3">
        <f t="shared" si="58"/>
        <v>1.876302621</v>
      </c>
      <c r="F58" s="3">
        <f t="shared" si="58"/>
        <v>-0.3627515442</v>
      </c>
      <c r="G58" s="3">
        <f t="shared" si="58"/>
        <v>1.235553467</v>
      </c>
      <c r="H58" s="3">
        <f t="shared" si="58"/>
        <v>-0.5766814355</v>
      </c>
    </row>
    <row r="59">
      <c r="A59" s="15" t="str">
        <f>'Récap'!A59</f>
        <v>89b998636f98304acf1f5a475b5fad130ac8020d521969a48412173d2ac0971f</v>
      </c>
      <c r="B59" s="3">
        <f t="shared" si="3"/>
        <v>0.3119615576</v>
      </c>
      <c r="C59" s="3">
        <f t="shared" ref="C59:H59" si="59">(XLOOKUP($A59, INDIRECT("'"&amp;C$1&amp;"'!A:A"), INDIRECT("'"&amp;C$1&amp;"'!B:B"), "")-AVERAGE(INDIRECT("'"&amp;C$1&amp;"'!B2:B")))/STDEV(INDIRECT("'"&amp;C$1&amp;"'!B2:B"))</f>
        <v>-0.2021129958</v>
      </c>
      <c r="D59" s="3">
        <f t="shared" si="59"/>
        <v>-0.8224241815</v>
      </c>
      <c r="E59" s="3">
        <f t="shared" si="59"/>
        <v>-0.91682969</v>
      </c>
      <c r="F59" s="3">
        <f t="shared" si="59"/>
        <v>0.01006308038</v>
      </c>
      <c r="G59" s="3">
        <f t="shared" si="59"/>
        <v>-0.8146049511</v>
      </c>
      <c r="H59" s="3">
        <f t="shared" si="59"/>
        <v>0.1249534932</v>
      </c>
    </row>
    <row r="60">
      <c r="A60" s="15" t="str">
        <f>'Récap'!A60</f>
        <v>23e416c6f9deb987ac8f8f136e8551133ba63c734122e2f82eaeec72b03bad9e</v>
      </c>
      <c r="B60" s="3">
        <f t="shared" si="3"/>
        <v>0.4401324942</v>
      </c>
      <c r="C60" s="3">
        <f t="shared" ref="C60:H60" si="60">(XLOOKUP($A60, INDIRECT("'"&amp;C$1&amp;"'!A:A"), INDIRECT("'"&amp;C$1&amp;"'!B:B"), "")-AVERAGE(INDIRECT("'"&amp;C$1&amp;"'!B2:B")))/STDEV(INDIRECT("'"&amp;C$1&amp;"'!B2:B"))</f>
        <v>0.5489740017</v>
      </c>
      <c r="D60" s="3">
        <f t="shared" si="60"/>
        <v>1.812206297</v>
      </c>
      <c r="E60" s="3">
        <f t="shared" si="60"/>
        <v>0.0142144138</v>
      </c>
      <c r="F60" s="3">
        <f t="shared" si="60"/>
        <v>-0.3938194296</v>
      </c>
      <c r="G60" s="3">
        <f t="shared" si="60"/>
        <v>-0.550068381</v>
      </c>
      <c r="H60" s="3">
        <f t="shared" si="60"/>
        <v>-0.1915929311</v>
      </c>
    </row>
    <row r="61">
      <c r="A61" s="15" t="str">
        <f>'Récap'!A61</f>
        <v>349cf265b30475874348c4e1b4520dc39d2668fe73f446cde11ed834aef06f6d</v>
      </c>
      <c r="B61" s="3">
        <f t="shared" si="3"/>
        <v>-0.6108691855</v>
      </c>
      <c r="C61" s="3">
        <f t="shared" ref="C61:H61" si="61">(XLOOKUP($A61, INDIRECT("'"&amp;C$1&amp;"'!A:A"), INDIRECT("'"&amp;C$1&amp;"'!B:B"), "")-AVERAGE(INDIRECT("'"&amp;C$1&amp;"'!B2:B")))/STDEV(INDIRECT("'"&amp;C$1&amp;"'!B2:B"))</f>
        <v>-0.7340303338</v>
      </c>
      <c r="D61" s="3">
        <f t="shared" si="61"/>
        <v>-0.3519544532</v>
      </c>
      <c r="E61" s="3">
        <f t="shared" si="61"/>
        <v>0.0142144138</v>
      </c>
      <c r="F61" s="3">
        <f t="shared" si="61"/>
        <v>0.5485730937</v>
      </c>
      <c r="G61" s="3">
        <f t="shared" si="61"/>
        <v>0.210474258</v>
      </c>
      <c r="H61" s="3">
        <f t="shared" si="61"/>
        <v>0.6868299159</v>
      </c>
    </row>
    <row r="62">
      <c r="A62" s="15" t="str">
        <f>'Récap'!A62</f>
        <v>48002b47ecdcaeb4828400130c7d77959319f9ae612dfbd03a91f7422c093ac7</v>
      </c>
      <c r="B62" s="3">
        <f t="shared" si="3"/>
        <v>-0.4570640616</v>
      </c>
      <c r="C62" s="3">
        <f t="shared" ref="C62:H62" si="62">(XLOOKUP($A62, INDIRECT("'"&amp;C$1&amp;"'!A:A"), INDIRECT("'"&amp;C$1&amp;"'!B:B"), "")-AVERAGE(INDIRECT("'"&amp;C$1&amp;"'!B2:B")))/STDEV(INDIRECT("'"&amp;C$1&amp;"'!B2:B"))</f>
        <v>-0.6453774441</v>
      </c>
      <c r="D62" s="3">
        <f t="shared" si="62"/>
        <v>-0.5401423445</v>
      </c>
      <c r="E62" s="3">
        <f t="shared" si="62"/>
        <v>0.9452585176</v>
      </c>
      <c r="F62" s="3">
        <f t="shared" si="62"/>
        <v>0.2408530861</v>
      </c>
      <c r="G62" s="3">
        <f t="shared" si="62"/>
        <v>1.918939606</v>
      </c>
      <c r="H62" s="3">
        <f t="shared" si="62"/>
        <v>0.09264313064</v>
      </c>
    </row>
    <row r="63">
      <c r="A63" s="15" t="str">
        <f>'Récap'!A63</f>
        <v>f837bce807410ac6f8b52fcee81a1ffaa2d7f77755861f2e6f2b482bff0f6fe9</v>
      </c>
      <c r="B63" s="3">
        <f t="shared" si="3"/>
        <v>1.850012796</v>
      </c>
      <c r="C63" s="3">
        <f t="shared" ref="C63:H63" si="63">(XLOOKUP($A63, INDIRECT("'"&amp;C$1&amp;"'!A:A"), INDIRECT("'"&amp;C$1&amp;"'!B:B"), "")-AVERAGE(INDIRECT("'"&amp;C$1&amp;"'!B2:B")))/STDEV(INDIRECT("'"&amp;C$1&amp;"'!B2:B"))</f>
        <v>1.984983012</v>
      </c>
      <c r="D63" s="3">
        <f t="shared" si="63"/>
        <v>0.2126092207</v>
      </c>
      <c r="E63" s="3">
        <f t="shared" si="63"/>
        <v>1.876302621</v>
      </c>
      <c r="F63" s="3">
        <f t="shared" si="63"/>
        <v>-1.60546696</v>
      </c>
      <c r="G63" s="3">
        <f t="shared" si="63"/>
        <v>0.942673693</v>
      </c>
      <c r="H63" s="3">
        <f t="shared" si="63"/>
        <v>-1.484679899</v>
      </c>
    </row>
    <row r="64">
      <c r="A64" s="15" t="str">
        <f>'Récap'!A64</f>
        <v>d87811d4a1e9ba86c382fda19de6f7d1ad04b42f8c0dceeb81cd7cafc1008ed8</v>
      </c>
      <c r="B64" s="3">
        <f t="shared" si="3"/>
        <v>-0.2473298018</v>
      </c>
      <c r="C64" s="3">
        <f t="shared" ref="C64:H64" si="64">(XLOOKUP($A64, INDIRECT("'"&amp;C$1&amp;"'!A:A"), INDIRECT("'"&amp;C$1&amp;"'!B:B"), "")-AVERAGE(INDIRECT("'"&amp;C$1&amp;"'!B2:B")))/STDEV(INDIRECT("'"&amp;C$1&amp;"'!B2:B"))</f>
        <v>-0.1790862588</v>
      </c>
      <c r="D64" s="3">
        <f t="shared" si="64"/>
        <v>1.059454732</v>
      </c>
      <c r="E64" s="3">
        <f t="shared" si="64"/>
        <v>0.9452585176</v>
      </c>
      <c r="F64" s="3">
        <f t="shared" si="64"/>
        <v>0.279318087</v>
      </c>
      <c r="G64" s="3">
        <f t="shared" si="64"/>
        <v>-0.1015063709</v>
      </c>
      <c r="H64" s="3">
        <f t="shared" si="64"/>
        <v>0.08863384526</v>
      </c>
    </row>
    <row r="65">
      <c r="A65" s="15" t="str">
        <f>'Récap'!A65</f>
        <v>95944dae06f4e15b8e63e41064092bc51db9f568df5abcdb866112b0a58a759a</v>
      </c>
      <c r="B65" s="3">
        <f t="shared" si="3"/>
        <v>-1.226089681</v>
      </c>
      <c r="C65" s="3">
        <f t="shared" ref="C65:H65" si="65">(XLOOKUP($A65, INDIRECT("'"&amp;C$1&amp;"'!A:A"), INDIRECT("'"&amp;C$1&amp;"'!B:B"), "")-AVERAGE(INDIRECT("'"&amp;C$1&amp;"'!B2:B")))/STDEV(INDIRECT("'"&amp;C$1&amp;"'!B2:B"))</f>
        <v>-1.088641892</v>
      </c>
      <c r="D65" s="3">
        <f t="shared" si="65"/>
        <v>-0.6342362901</v>
      </c>
      <c r="E65" s="3">
        <f t="shared" si="65"/>
        <v>-0.91682969</v>
      </c>
      <c r="F65" s="3">
        <f t="shared" si="65"/>
        <v>1.087083107</v>
      </c>
      <c r="G65" s="3">
        <f t="shared" si="65"/>
        <v>-0.8146049511</v>
      </c>
      <c r="H65" s="3">
        <f t="shared" si="65"/>
        <v>1.541981634</v>
      </c>
    </row>
    <row r="66">
      <c r="A66" s="15" t="str">
        <f>'Récap'!A66</f>
        <v>ea47fdcc277117bd663900f36ab09bad41ea1af083ccbc63647b5838e1056ebc</v>
      </c>
      <c r="B66" s="3">
        <f t="shared" si="3"/>
        <v>-1.226089681</v>
      </c>
      <c r="C66" s="3">
        <f t="shared" ref="C66:H66" si="66">(XLOOKUP($A66, INDIRECT("'"&amp;C$1&amp;"'!A:A"), INDIRECT("'"&amp;C$1&amp;"'!B:B"), "")-AVERAGE(INDIRECT("'"&amp;C$1&amp;"'!B2:B")))/STDEV(INDIRECT("'"&amp;C$1&amp;"'!B2:B"))</f>
        <v>-1.088641892</v>
      </c>
      <c r="D66" s="3">
        <f t="shared" si="66"/>
        <v>0.5889850033</v>
      </c>
      <c r="E66" s="3">
        <f t="shared" si="66"/>
        <v>-0.91682969</v>
      </c>
      <c r="F66" s="3">
        <f t="shared" si="66"/>
        <v>1.115425739</v>
      </c>
      <c r="G66" s="3">
        <f t="shared" si="66"/>
        <v>-0.8146049511</v>
      </c>
      <c r="H66" s="3">
        <f t="shared" si="66"/>
        <v>1.317826777</v>
      </c>
    </row>
    <row r="67">
      <c r="A67" s="15" t="str">
        <f>'Récap'!A67</f>
        <v>bfe01fd74f4a333b18002bc2d02ce800bee2e244cc59a5156ca3fcc5a0cdce00</v>
      </c>
      <c r="B67" s="3">
        <f t="shared" si="3"/>
        <v>0.004351309931</v>
      </c>
      <c r="C67" s="3">
        <f t="shared" ref="C67:H67" si="67">(XLOOKUP($A67, INDIRECT("'"&amp;C$1&amp;"'!A:A"), INDIRECT("'"&amp;C$1&amp;"'!B:B"), "")-AVERAGE(INDIRECT("'"&amp;C$1&amp;"'!B2:B")))/STDEV(INDIRECT("'"&amp;C$1&amp;"'!B2:B"))</f>
        <v>-0.1430110576</v>
      </c>
      <c r="D67" s="3">
        <f t="shared" si="67"/>
        <v>-0.6342362901</v>
      </c>
      <c r="E67" s="3">
        <f t="shared" si="67"/>
        <v>-0.91682969</v>
      </c>
      <c r="F67" s="3">
        <f t="shared" si="67"/>
        <v>0.01006308038</v>
      </c>
      <c r="G67" s="3">
        <f t="shared" si="67"/>
        <v>-0.8146049511</v>
      </c>
      <c r="H67" s="3">
        <f t="shared" si="67"/>
        <v>-0.5403614969</v>
      </c>
    </row>
    <row r="68">
      <c r="A68" s="15" t="str">
        <f>'Récap'!A68</f>
        <v>345dad5114b3cd453211fb2463b2677b927fb8bed5528f041e0451dfd0f2dca2</v>
      </c>
      <c r="B68" s="3">
        <f t="shared" si="3"/>
        <v>-0.4236281651</v>
      </c>
      <c r="C68" s="3">
        <f t="shared" ref="C68:H68" si="68">(XLOOKUP($A68, INDIRECT("'"&amp;C$1&amp;"'!A:A"), INDIRECT("'"&amp;C$1&amp;"'!B:B"), "")-AVERAGE(INDIRECT("'"&amp;C$1&amp;"'!B2:B")))/STDEV(INDIRECT("'"&amp;C$1&amp;"'!B2:B"))</f>
        <v>-0.3691401818</v>
      </c>
      <c r="D68" s="3">
        <f t="shared" si="68"/>
        <v>1.247642623</v>
      </c>
      <c r="E68" s="3">
        <f t="shared" si="68"/>
        <v>0.9452585176</v>
      </c>
      <c r="F68" s="3">
        <f t="shared" si="68"/>
        <v>0.2586061634</v>
      </c>
      <c r="G68" s="3">
        <f t="shared" si="68"/>
        <v>-0.1585542573</v>
      </c>
      <c r="H68" s="3">
        <f t="shared" si="68"/>
        <v>-0.4594489548</v>
      </c>
    </row>
    <row r="69">
      <c r="A69" s="15" t="str">
        <f>'Récap'!A69</f>
        <v>22d436278c2d2678362e2b3102b5bfa9227eecad30f599801b730e0cc7acd1c6</v>
      </c>
      <c r="B69" s="3">
        <f t="shared" si="3"/>
        <v>-0.7866464699</v>
      </c>
      <c r="C69" s="3">
        <f t="shared" ref="C69:H69" si="69">(XLOOKUP($A69, INDIRECT("'"&amp;C$1&amp;"'!A:A"), INDIRECT("'"&amp;C$1&amp;"'!B:B"), "")-AVERAGE(INDIRECT("'"&amp;C$1&amp;"'!B2:B")))/STDEV(INDIRECT("'"&amp;C$1&amp;"'!B2:B"))</f>
        <v>-0.835347927</v>
      </c>
      <c r="D69" s="3">
        <f t="shared" si="69"/>
        <v>0.02442132941</v>
      </c>
      <c r="E69" s="3">
        <f t="shared" si="69"/>
        <v>2.807346725</v>
      </c>
      <c r="F69" s="3">
        <f t="shared" si="69"/>
        <v>0.8799638711</v>
      </c>
      <c r="G69" s="3">
        <f t="shared" si="69"/>
        <v>1.918939606</v>
      </c>
      <c r="H69" s="3">
        <f t="shared" si="69"/>
        <v>0.9649203171</v>
      </c>
    </row>
    <row r="70">
      <c r="A70" s="15" t="str">
        <f>'Récap'!A70</f>
        <v>2a9dda5adde456cb4c1ec3735fde1d4591c3b0780ef3d82b8c7fed613382e82f</v>
      </c>
      <c r="B70" s="3">
        <f t="shared" si="3"/>
        <v>-0.072551252</v>
      </c>
      <c r="C70" s="3">
        <f t="shared" ref="C70:H70" si="70">(XLOOKUP($A70, INDIRECT("'"&amp;C$1&amp;"'!A:A"), INDIRECT("'"&amp;C$1&amp;"'!B:B"), "")-AVERAGE(INDIRECT("'"&amp;C$1&amp;"'!B2:B")))/STDEV(INDIRECT("'"&amp;C$1&amp;"'!B2:B"))</f>
        <v>-0.09129688375</v>
      </c>
      <c r="D70" s="3">
        <f t="shared" si="70"/>
        <v>0.400797112</v>
      </c>
      <c r="E70" s="3">
        <f t="shared" si="70"/>
        <v>-0.91682969</v>
      </c>
      <c r="F70" s="3">
        <f t="shared" si="70"/>
        <v>0.6752813321</v>
      </c>
      <c r="G70" s="3">
        <f t="shared" si="70"/>
        <v>-0.8146049511</v>
      </c>
      <c r="H70" s="3">
        <f t="shared" si="70"/>
        <v>0.9366494944</v>
      </c>
    </row>
    <row r="71">
      <c r="A71" s="15" t="str">
        <f>'Récap'!A71</f>
        <v>aa3e744d9ea1bfef5bac5c29b695be41bbe453b6bf59bb5ff04d04fe3ddb9b7e</v>
      </c>
      <c r="B71" s="3">
        <f t="shared" si="3"/>
        <v>-0.416589029</v>
      </c>
      <c r="C71" s="3">
        <f t="shared" ref="C71:H71" si="71">(XLOOKUP($A71, INDIRECT("'"&amp;C$1&amp;"'!A:A"), INDIRECT("'"&amp;C$1&amp;"'!B:B"), "")-AVERAGE(INDIRECT("'"&amp;C$1&amp;"'!B2:B")))/STDEV(INDIRECT("'"&amp;C$1&amp;"'!B2:B"))</f>
        <v>-0.3980825488</v>
      </c>
      <c r="D71" s="3">
        <f t="shared" si="71"/>
        <v>0.9653607859</v>
      </c>
      <c r="E71" s="3">
        <f t="shared" si="71"/>
        <v>1.876302621</v>
      </c>
      <c r="F71" s="3">
        <f t="shared" si="71"/>
        <v>0.0803035169</v>
      </c>
      <c r="G71" s="3">
        <f t="shared" si="71"/>
        <v>0.303663277</v>
      </c>
      <c r="H71" s="3">
        <f t="shared" si="71"/>
        <v>-0.3227512026</v>
      </c>
    </row>
    <row r="72">
      <c r="A72" s="15" t="str">
        <f>'Récap'!A72</f>
        <v>e4380b18857e28837873b807b4ee2bee2e199a3536f56fb56fb5949de4c17a77</v>
      </c>
      <c r="B72" s="3">
        <f t="shared" si="3"/>
        <v>0.8246453038</v>
      </c>
      <c r="C72" s="3">
        <f t="shared" ref="C72:H72" si="72">(XLOOKUP($A72, INDIRECT("'"&amp;C$1&amp;"'!A:A"), INDIRECT("'"&amp;C$1&amp;"'!B:B"), "")-AVERAGE(INDIRECT("'"&amp;C$1&amp;"'!B2:B")))/STDEV(INDIRECT("'"&amp;C$1&amp;"'!B2:B"))</f>
        <v>0.4874094635</v>
      </c>
      <c r="D72" s="3">
        <f t="shared" si="72"/>
        <v>-0.8224241815</v>
      </c>
      <c r="E72" s="3">
        <f t="shared" si="72"/>
        <v>-0.91682969</v>
      </c>
      <c r="F72" s="3">
        <f t="shared" si="72"/>
        <v>-0.7977019396</v>
      </c>
      <c r="G72" s="3">
        <f t="shared" si="72"/>
        <v>-0.8146049511</v>
      </c>
      <c r="H72" s="3">
        <f t="shared" si="72"/>
        <v>-0.5766814355</v>
      </c>
    </row>
    <row r="73">
      <c r="A73" s="15" t="str">
        <f>'Récap'!A73</f>
        <v>cbdbb864a7b15c5903aa09adff018a3d184f25c250b86926a5bc3fd9d9169037</v>
      </c>
      <c r="B73" s="3">
        <f t="shared" si="3"/>
        <v>-0.4570640616</v>
      </c>
      <c r="C73" s="3">
        <f t="shared" ref="C73:H73" si="73">(XLOOKUP($A73, INDIRECT("'"&amp;C$1&amp;"'!A:A"), INDIRECT("'"&amp;C$1&amp;"'!B:B"), "")-AVERAGE(INDIRECT("'"&amp;C$1&amp;"'!B2:B")))/STDEV(INDIRECT("'"&amp;C$1&amp;"'!B2:B"))</f>
        <v>-0.6453774441</v>
      </c>
      <c r="D73" s="3">
        <f t="shared" si="73"/>
        <v>0.1185152751</v>
      </c>
      <c r="E73" s="3">
        <f t="shared" si="73"/>
        <v>-0.91682969</v>
      </c>
      <c r="F73" s="3">
        <f t="shared" si="73"/>
        <v>1.164013109</v>
      </c>
      <c r="G73" s="3">
        <f t="shared" si="73"/>
        <v>-0.8146049511</v>
      </c>
      <c r="H73" s="3">
        <f t="shared" si="73"/>
        <v>1.544130067</v>
      </c>
    </row>
    <row r="74">
      <c r="A74" s="15" t="str">
        <f>'Récap'!A74</f>
        <v>4082ac64b81101cbebcabd3b8b597bf7966896898674d507e118e3c0367ac800</v>
      </c>
      <c r="B74" s="3">
        <f t="shared" si="3"/>
        <v>1.850012796</v>
      </c>
      <c r="C74" s="3">
        <f t="shared" ref="C74:H74" si="74">(XLOOKUP($A74, INDIRECT("'"&amp;C$1&amp;"'!A:A"), INDIRECT("'"&amp;C$1&amp;"'!B:B"), "")-AVERAGE(INDIRECT("'"&amp;C$1&amp;"'!B2:B")))/STDEV(INDIRECT("'"&amp;C$1&amp;"'!B2:B"))</f>
        <v>1.748250577</v>
      </c>
      <c r="D74" s="3">
        <f t="shared" si="74"/>
        <v>-0.7283302358</v>
      </c>
      <c r="E74" s="3">
        <f t="shared" si="74"/>
        <v>-0.91682969</v>
      </c>
      <c r="F74" s="3">
        <f t="shared" si="74"/>
        <v>-1.60546696</v>
      </c>
      <c r="G74" s="3">
        <f t="shared" si="74"/>
        <v>-0.8146049511</v>
      </c>
      <c r="H74" s="3">
        <f t="shared" si="74"/>
        <v>-1.484679899</v>
      </c>
    </row>
    <row r="75">
      <c r="A75" s="15" t="str">
        <f>'Récap'!A75</f>
        <v>f1adcb66d665ecba393da1490aca01e322bebd658ae2ef41aadee9ec7106def2</v>
      </c>
      <c r="B75" s="3">
        <f t="shared" si="3"/>
        <v>-1.226089681</v>
      </c>
      <c r="C75" s="3">
        <f t="shared" ref="C75:H75" si="75">(XLOOKUP($A75, INDIRECT("'"&amp;C$1&amp;"'!A:A"), INDIRECT("'"&amp;C$1&amp;"'!B:B"), "")-AVERAGE(INDIRECT("'"&amp;C$1&amp;"'!B2:B")))/STDEV(INDIRECT("'"&amp;C$1&amp;"'!B2:B"))</f>
        <v>-1.088641892</v>
      </c>
      <c r="D75" s="3">
        <f t="shared" si="75"/>
        <v>-0.8224241815</v>
      </c>
      <c r="E75" s="3">
        <f t="shared" si="75"/>
        <v>0.0142144138</v>
      </c>
      <c r="F75" s="3">
        <f t="shared" si="75"/>
        <v>0.8178281003</v>
      </c>
      <c r="G75" s="3">
        <f t="shared" si="75"/>
        <v>1.918939606</v>
      </c>
      <c r="H75" s="3">
        <f t="shared" si="75"/>
        <v>0.9091345623</v>
      </c>
    </row>
    <row r="76">
      <c r="A76" s="15" t="str">
        <f>'Récap'!A76</f>
        <v>7026047c5e9f18234ed92d0bc1518a2a4944fc2a9a0bb90628e20b2d93e7f9ae</v>
      </c>
      <c r="B76" s="3">
        <f t="shared" si="3"/>
        <v>0.5316831631</v>
      </c>
      <c r="C76" s="3">
        <f t="shared" ref="C76:H76" si="76">(XLOOKUP($A76, INDIRECT("'"&amp;C$1&amp;"'!A:A"), INDIRECT("'"&amp;C$1&amp;"'!B:B"), "")-AVERAGE(INDIRECT("'"&amp;C$1&amp;"'!B2:B")))/STDEV(INDIRECT("'"&amp;C$1&amp;"'!B2:B"))</f>
        <v>0.5324395286</v>
      </c>
      <c r="D76" s="3">
        <f t="shared" si="76"/>
        <v>-0.3519544532</v>
      </c>
      <c r="E76" s="3">
        <f t="shared" si="76"/>
        <v>0.0142144138</v>
      </c>
      <c r="F76" s="3">
        <f t="shared" si="76"/>
        <v>-0.1694402574</v>
      </c>
      <c r="G76" s="3">
        <f t="shared" si="76"/>
        <v>0.210474258</v>
      </c>
      <c r="H76" s="3">
        <f t="shared" si="76"/>
        <v>-0.9225858472</v>
      </c>
    </row>
    <row r="77">
      <c r="A77" s="15" t="str">
        <f>'Récap'!A77</f>
        <v>c38594bec27d288cfe5bd031cde0cff4c46de188336f74ff3f79854c88c65b00</v>
      </c>
      <c r="B77" s="3">
        <f t="shared" si="3"/>
        <v>-0.7866464699</v>
      </c>
      <c r="C77" s="3">
        <f t="shared" ref="C77:H77" si="77">(XLOOKUP($A77, INDIRECT("'"&amp;C$1&amp;"'!A:A"), INDIRECT("'"&amp;C$1&amp;"'!B:B"), "")-AVERAGE(INDIRECT("'"&amp;C$1&amp;"'!B2:B")))/STDEV(INDIRECT("'"&amp;C$1&amp;"'!B2:B"))</f>
        <v>-0.835347927</v>
      </c>
      <c r="D77" s="3">
        <f t="shared" si="77"/>
        <v>-0.2578605075</v>
      </c>
      <c r="E77" s="3">
        <f t="shared" si="77"/>
        <v>0.9452585176</v>
      </c>
      <c r="F77" s="3">
        <f t="shared" si="77"/>
        <v>0.3331690884</v>
      </c>
      <c r="G77" s="3">
        <f t="shared" si="77"/>
        <v>1.007758087</v>
      </c>
      <c r="H77" s="3">
        <f t="shared" si="77"/>
        <v>0.2032067984</v>
      </c>
    </row>
    <row r="78">
      <c r="A78" s="15" t="str">
        <f>'Récap'!A78</f>
        <v>4d1ccd3b1393438168aeac88ee6d753d95c33c77fcc46afa13a5415a265323c2</v>
      </c>
      <c r="B78" s="3">
        <f t="shared" si="3"/>
        <v>-0.1612849773</v>
      </c>
      <c r="C78" s="3">
        <f t="shared" ref="C78:H78" si="78">(XLOOKUP($A78, INDIRECT("'"&amp;C$1&amp;"'!A:A"), INDIRECT("'"&amp;C$1&amp;"'!B:B"), "")-AVERAGE(INDIRECT("'"&amp;C$1&amp;"'!B2:B")))/STDEV(INDIRECT("'"&amp;C$1&amp;"'!B2:B"))</f>
        <v>-0.2021129958</v>
      </c>
      <c r="D78" s="3">
        <f t="shared" si="78"/>
        <v>1.341736569</v>
      </c>
      <c r="E78" s="3">
        <f t="shared" si="78"/>
        <v>0.0142144138</v>
      </c>
      <c r="F78" s="3">
        <f t="shared" si="78"/>
        <v>-0.2891091492</v>
      </c>
      <c r="G78" s="3">
        <f t="shared" si="78"/>
        <v>-0.4991959637</v>
      </c>
      <c r="H78" s="3">
        <f t="shared" si="78"/>
        <v>-0.6408831012</v>
      </c>
    </row>
    <row r="79">
      <c r="A79" s="15" t="str">
        <f>'Récap'!A79</f>
        <v>de14d69ecb05cea275dcf6a7cb707626315f3e81931958d7d7b15131368cf4d6</v>
      </c>
      <c r="B79" s="3">
        <f t="shared" si="3"/>
        <v>-1.226089681</v>
      </c>
      <c r="C79" s="3">
        <f t="shared" ref="C79:H79" si="79">(XLOOKUP($A79, INDIRECT("'"&amp;C$1&amp;"'!A:A"), INDIRECT("'"&amp;C$1&amp;"'!B:B"), "")-AVERAGE(INDIRECT("'"&amp;C$1&amp;"'!B2:B")))/STDEV(INDIRECT("'"&amp;C$1&amp;"'!B2:B"))</f>
        <v>-1.088641892</v>
      </c>
      <c r="D79" s="3">
        <f t="shared" si="79"/>
        <v>-0.3519544532</v>
      </c>
      <c r="E79" s="3">
        <f t="shared" si="79"/>
        <v>0.9452585176</v>
      </c>
      <c r="F79" s="3">
        <f t="shared" si="79"/>
        <v>0.1895664182</v>
      </c>
      <c r="G79" s="3">
        <f t="shared" si="79"/>
        <v>1.235553467</v>
      </c>
      <c r="H79" s="3">
        <f t="shared" si="79"/>
        <v>0.3476093534</v>
      </c>
    </row>
    <row r="80">
      <c r="A80" s="15" t="str">
        <f>'Récap'!A80</f>
        <v>f421319a6d338f4c75d9ce493c2ab35aa31da5115a045fb9149446903d5f1141</v>
      </c>
      <c r="B80" s="3">
        <f t="shared" si="3"/>
        <v>0.004351309931</v>
      </c>
      <c r="C80" s="3">
        <f t="shared" ref="C80:H80" si="80">(XLOOKUP($A80, INDIRECT("'"&amp;C$1&amp;"'!A:A"), INDIRECT("'"&amp;C$1&amp;"'!B:B"), "")-AVERAGE(INDIRECT("'"&amp;C$1&amp;"'!B2:B")))/STDEV(INDIRECT("'"&amp;C$1&amp;"'!B2:B"))</f>
        <v>-0.1430110576</v>
      </c>
      <c r="D80" s="3">
        <f t="shared" si="80"/>
        <v>0.1185152751</v>
      </c>
      <c r="E80" s="3">
        <f t="shared" si="80"/>
        <v>0.0142144138</v>
      </c>
      <c r="F80" s="3">
        <f t="shared" si="80"/>
        <v>0.4716430918</v>
      </c>
      <c r="G80" s="3">
        <f t="shared" si="80"/>
        <v>-0.1837869763</v>
      </c>
      <c r="H80" s="3">
        <f t="shared" si="80"/>
        <v>0.7760510435</v>
      </c>
    </row>
    <row r="81">
      <c r="A81" s="15" t="str">
        <f>'Récap'!A81</f>
        <v>db2e162c7c1734ed5a58abc1706b9efbbdadbd2ba5f77bea6911a1aabd5e0831</v>
      </c>
      <c r="B81" s="3">
        <f t="shared" si="3"/>
        <v>1.439865799</v>
      </c>
      <c r="C81" s="3">
        <f t="shared" ref="C81:H81" si="81">(XLOOKUP($A81, INDIRECT("'"&amp;C$1&amp;"'!A:A"), INDIRECT("'"&amp;C$1&amp;"'!B:B"), "")-AVERAGE(INDIRECT("'"&amp;C$1&amp;"'!B2:B")))/STDEV(INDIRECT("'"&amp;C$1&amp;"'!B2:B"))</f>
        <v>1.683549535</v>
      </c>
      <c r="D81" s="3">
        <f t="shared" si="81"/>
        <v>1.718112351</v>
      </c>
      <c r="E81" s="3">
        <f t="shared" si="81"/>
        <v>1.876302621</v>
      </c>
      <c r="F81" s="3">
        <f t="shared" si="81"/>
        <v>-1.397011471</v>
      </c>
      <c r="G81" s="3">
        <f t="shared" si="81"/>
        <v>0.005458416167</v>
      </c>
      <c r="H81" s="3">
        <f t="shared" si="81"/>
        <v>-1.321673218</v>
      </c>
    </row>
    <row r="82">
      <c r="A82" s="15" t="str">
        <f>'Récap'!A82</f>
        <v>570df8c7a9f77bb2889ba29eb35271e4e2340fd1709d075882800ac637643e15</v>
      </c>
      <c r="B82" s="3">
        <f t="shared" si="3"/>
        <v>1.850012796</v>
      </c>
      <c r="C82" s="3">
        <f t="shared" ref="C82:H82" si="82">(XLOOKUP($A82, INDIRECT("'"&amp;C$1&amp;"'!A:A"), INDIRECT("'"&amp;C$1&amp;"'!B:B"), "")-AVERAGE(INDIRECT("'"&amp;C$1&amp;"'!B2:B")))/STDEV(INDIRECT("'"&amp;C$1&amp;"'!B2:B"))</f>
        <v>1.570944797</v>
      </c>
      <c r="D82" s="3">
        <f t="shared" si="82"/>
        <v>-0.8224241815</v>
      </c>
      <c r="E82" s="3">
        <f t="shared" si="82"/>
        <v>-0.91682969</v>
      </c>
      <c r="F82" s="3">
        <f t="shared" si="82"/>
        <v>-1.60546696</v>
      </c>
      <c r="G82" s="3">
        <f t="shared" si="82"/>
        <v>-0.8146049511</v>
      </c>
      <c r="H82" s="3">
        <f t="shared" si="82"/>
        <v>-1.484679899</v>
      </c>
    </row>
    <row r="83">
      <c r="A83" s="15" t="str">
        <f>'Récap'!A83</f>
        <v>cec0a384f41fb2446aff0043657c7e32479dd58e701084dde0bcc28f161aa2b1</v>
      </c>
      <c r="B83" s="3">
        <f t="shared" si="3"/>
        <v>-0.3871526417</v>
      </c>
      <c r="C83" s="3">
        <f t="shared" ref="C83:H83" si="83">(XLOOKUP($A83, INDIRECT("'"&amp;C$1&amp;"'!A:A"), INDIRECT("'"&amp;C$1&amp;"'!B:B"), "")-AVERAGE(INDIRECT("'"&amp;C$1&amp;"'!B2:B")))/STDEV(INDIRECT("'"&amp;C$1&amp;"'!B2:B"))</f>
        <v>-0.4976226162</v>
      </c>
      <c r="D83" s="3">
        <f t="shared" si="83"/>
        <v>0.3067031664</v>
      </c>
      <c r="E83" s="3">
        <f t="shared" si="83"/>
        <v>1.876302621</v>
      </c>
      <c r="F83" s="3">
        <f t="shared" si="83"/>
        <v>0.4139455904</v>
      </c>
      <c r="G83" s="3">
        <f t="shared" si="83"/>
        <v>0.8255217834</v>
      </c>
      <c r="H83" s="3">
        <f t="shared" si="83"/>
        <v>0.09672585493</v>
      </c>
    </row>
    <row r="84">
      <c r="A84" s="15" t="str">
        <f>'Récap'!A84</f>
        <v>2f002333e3ee078069a370adede771895a413b747a8039cfe1f8b6d5f579fcc5</v>
      </c>
      <c r="B84" s="3">
        <f t="shared" si="3"/>
        <v>0.3734836072</v>
      </c>
      <c r="C84" s="3">
        <f t="shared" ref="C84:H84" si="84">(XLOOKUP($A84, INDIRECT("'"&amp;C$1&amp;"'!A:A"), INDIRECT("'"&amp;C$1&amp;"'!B:B"), "")-AVERAGE(INDIRECT("'"&amp;C$1&amp;"'!B2:B")))/STDEV(INDIRECT("'"&amp;C$1&amp;"'!B2:B"))</f>
        <v>0.2801587239</v>
      </c>
      <c r="D84" s="3">
        <f t="shared" si="84"/>
        <v>1.624018405</v>
      </c>
      <c r="E84" s="3">
        <f t="shared" si="84"/>
        <v>0.0142144138</v>
      </c>
      <c r="F84" s="3">
        <f t="shared" si="84"/>
        <v>-0.4207449303</v>
      </c>
      <c r="G84" s="3">
        <f t="shared" si="84"/>
        <v>-0.5318244796</v>
      </c>
      <c r="H84" s="3">
        <f t="shared" si="84"/>
        <v>-0.6627486849</v>
      </c>
    </row>
    <row r="85">
      <c r="A85" s="15" t="str">
        <f>'Récap'!A85</f>
        <v>125ae2e6409e498cf96017e4f7168a1612ea2f181a0ea99530cfafb7b3a64807</v>
      </c>
      <c r="B85" s="3">
        <f t="shared" si="3"/>
        <v>0.4144983069</v>
      </c>
      <c r="C85" s="3">
        <f t="shared" ref="C85:H85" si="85">(XLOOKUP($A85, INDIRECT("'"&amp;C$1&amp;"'!A:A"), INDIRECT("'"&amp;C$1&amp;"'!B:B"), "")-AVERAGE(INDIRECT("'"&amp;C$1&amp;"'!B2:B")))/STDEV(INDIRECT("'"&amp;C$1&amp;"'!B2:B"))</f>
        <v>0.4283075607</v>
      </c>
      <c r="D85" s="3">
        <f t="shared" si="85"/>
        <v>0.400797112</v>
      </c>
      <c r="E85" s="3">
        <f t="shared" si="85"/>
        <v>0.0142144138</v>
      </c>
      <c r="F85" s="3">
        <f t="shared" si="85"/>
        <v>-0.4650928137</v>
      </c>
      <c r="G85" s="3">
        <f t="shared" si="85"/>
        <v>-0.3020653466</v>
      </c>
      <c r="H85" s="3">
        <f t="shared" si="85"/>
        <v>-0.5524034815</v>
      </c>
    </row>
    <row r="86">
      <c r="A86" s="15" t="str">
        <f>'Récap'!A86</f>
        <v>a35833a67176bfc8c1457633e2e41ffb5e4bf6aac7127377e8b9881caf1cf52e</v>
      </c>
      <c r="B86" s="3">
        <f t="shared" si="3"/>
        <v>1.080987177</v>
      </c>
      <c r="C86" s="3">
        <f t="shared" ref="C86:H86" si="86">(XLOOKUP($A86, INDIRECT("'"&amp;C$1&amp;"'!A:A"), INDIRECT("'"&amp;C$1&amp;"'!B:B"), "")-AVERAGE(INDIRECT("'"&amp;C$1&amp;"'!B2:B")))/STDEV(INDIRECT("'"&amp;C$1&amp;"'!B2:B"))</f>
        <v>0.9060481249</v>
      </c>
      <c r="D86" s="3">
        <f t="shared" si="86"/>
        <v>-0.7283302358</v>
      </c>
      <c r="E86" s="3">
        <f t="shared" si="86"/>
        <v>-0.91682969</v>
      </c>
      <c r="F86" s="3">
        <f t="shared" si="86"/>
        <v>-0.9592549436</v>
      </c>
      <c r="G86" s="3">
        <f t="shared" si="86"/>
        <v>-0.8146049511</v>
      </c>
      <c r="H86" s="3">
        <f t="shared" si="86"/>
        <v>-0.7582811282</v>
      </c>
    </row>
    <row r="87">
      <c r="A87" s="15" t="str">
        <f>'Récap'!A87</f>
        <v>6dd7cb5359f54edb9eb0becd33d19118d3e93e266ef7644cf7b9ad2b9ed1262d</v>
      </c>
      <c r="B87" s="3">
        <f t="shared" si="3"/>
        <v>0.9711263742</v>
      </c>
      <c r="C87" s="3">
        <f t="shared" ref="C87:H87" si="87">(XLOOKUP($A87, INDIRECT("'"&amp;C$1&amp;"'!A:A"), INDIRECT("'"&amp;C$1&amp;"'!B:B"), "")-AVERAGE(INDIRECT("'"&amp;C$1&amp;"'!B2:B")))/STDEV(INDIRECT("'"&amp;C$1&amp;"'!B2:B"))</f>
        <v>1.147582001</v>
      </c>
      <c r="D87" s="3">
        <f t="shared" si="87"/>
        <v>1.059454732</v>
      </c>
      <c r="E87" s="3">
        <f t="shared" si="87"/>
        <v>0.9452585176</v>
      </c>
      <c r="F87" s="3">
        <f t="shared" si="87"/>
        <v>-0.6630744363</v>
      </c>
      <c r="G87" s="3">
        <f t="shared" si="87"/>
        <v>-0.1015063709</v>
      </c>
      <c r="H87" s="3">
        <f t="shared" si="87"/>
        <v>-0.5597622279</v>
      </c>
    </row>
    <row r="88">
      <c r="A88" s="15" t="str">
        <f>'Récap'!A88</f>
        <v>f8dac969c272aabb2ba0adebac1b711f0f174a8288053069be5391c65bb027c3</v>
      </c>
      <c r="B88" s="3">
        <f t="shared" si="3"/>
        <v>0.8246453038</v>
      </c>
      <c r="C88" s="3">
        <f t="shared" ref="C88:H88" si="88">(XLOOKUP($A88, INDIRECT("'"&amp;C$1&amp;"'!A:A"), INDIRECT("'"&amp;C$1&amp;"'!B:B"), "")-AVERAGE(INDIRECT("'"&amp;C$1&amp;"'!B2:B")))/STDEV(INDIRECT("'"&amp;C$1&amp;"'!B2:B"))</f>
        <v>0.8438972719</v>
      </c>
      <c r="D88" s="3">
        <f t="shared" si="88"/>
        <v>0.9653607859</v>
      </c>
      <c r="E88" s="3">
        <f t="shared" si="88"/>
        <v>0.0142144138</v>
      </c>
      <c r="F88" s="3">
        <f t="shared" si="88"/>
        <v>-0.6221008483</v>
      </c>
      <c r="G88" s="3">
        <f t="shared" si="88"/>
        <v>-0.4418488751</v>
      </c>
      <c r="H88" s="3">
        <f t="shared" si="88"/>
        <v>-0.5045907885</v>
      </c>
    </row>
    <row r="89">
      <c r="A89" s="15" t="str">
        <f>'Récap'!A89</f>
        <v>453482ae02a485dd6eda2426eae4181835e1451a36229f550d4efb9d8a7a9470</v>
      </c>
      <c r="B89" s="3">
        <f t="shared" si="3"/>
        <v>-0.6108691855</v>
      </c>
      <c r="C89" s="3">
        <f t="shared" ref="C89:H89" si="89">(XLOOKUP($A89, INDIRECT("'"&amp;C$1&amp;"'!A:A"), INDIRECT("'"&amp;C$1&amp;"'!B:B"), "")-AVERAGE(INDIRECT("'"&amp;C$1&amp;"'!B2:B")))/STDEV(INDIRECT("'"&amp;C$1&amp;"'!B2:B"))</f>
        <v>-0.7340303338</v>
      </c>
      <c r="D89" s="3">
        <f t="shared" si="89"/>
        <v>-0.6342362901</v>
      </c>
      <c r="E89" s="3">
        <f t="shared" si="89"/>
        <v>-0.91682969</v>
      </c>
      <c r="F89" s="3">
        <f t="shared" si="89"/>
        <v>0.5485730937</v>
      </c>
      <c r="G89" s="3">
        <f t="shared" si="89"/>
        <v>-0.8146049511</v>
      </c>
      <c r="H89" s="3">
        <f t="shared" si="89"/>
        <v>0.04075751972</v>
      </c>
    </row>
    <row r="90">
      <c r="A90" s="15" t="str">
        <f>'Récap'!A90</f>
        <v>275839578ec60b5084d5e18fccb01310e9f1b78293cad00bec043945e0f3e629</v>
      </c>
      <c r="B90" s="3">
        <f t="shared" si="3"/>
        <v>-1.226089681</v>
      </c>
      <c r="C90" s="3">
        <f t="shared" ref="C90:H90" si="90">(XLOOKUP($A90, INDIRECT("'"&amp;C$1&amp;"'!A:A"), INDIRECT("'"&amp;C$1&amp;"'!B:B"), "")-AVERAGE(INDIRECT("'"&amp;C$1&amp;"'!B2:B")))/STDEV(INDIRECT("'"&amp;C$1&amp;"'!B2:B"))</f>
        <v>-1.088641892</v>
      </c>
      <c r="D90" s="3">
        <f t="shared" si="90"/>
        <v>0.1185152751</v>
      </c>
      <c r="E90" s="3">
        <f t="shared" si="90"/>
        <v>0.9452585176</v>
      </c>
      <c r="F90" s="3">
        <f t="shared" si="90"/>
        <v>1.164013109</v>
      </c>
      <c r="G90" s="3">
        <f t="shared" si="90"/>
        <v>0.4470309985</v>
      </c>
      <c r="H90" s="3">
        <f t="shared" si="90"/>
        <v>1.556181786</v>
      </c>
    </row>
    <row r="91">
      <c r="A91" s="15" t="str">
        <f>'Récap'!A91</f>
        <v>73da0df025bd69a83446ff2c9628a7f2f1ff34bff9e343059e17e4d31a6218d3</v>
      </c>
      <c r="B91" s="3">
        <f t="shared" si="3"/>
        <v>1.850012796</v>
      </c>
      <c r="C91" s="3">
        <f t="shared" ref="C91:H91" si="91">(XLOOKUP($A91, INDIRECT("'"&amp;C$1&amp;"'!A:A"), INDIRECT("'"&amp;C$1&amp;"'!B:B"), "")-AVERAGE(INDIRECT("'"&amp;C$1&amp;"'!B2:B")))/STDEV(INDIRECT("'"&amp;C$1&amp;"'!B2:B"))</f>
        <v>2.184695561</v>
      </c>
      <c r="D91" s="3">
        <f t="shared" si="91"/>
        <v>0.02442132941</v>
      </c>
      <c r="E91" s="3">
        <f t="shared" si="91"/>
        <v>0.0142144138</v>
      </c>
      <c r="F91" s="3">
        <f t="shared" si="91"/>
        <v>-1.60546696</v>
      </c>
      <c r="G91" s="3">
        <f t="shared" si="91"/>
        <v>-0.1312188117</v>
      </c>
      <c r="H91" s="3">
        <f t="shared" si="91"/>
        <v>-1.484679899</v>
      </c>
    </row>
    <row r="92">
      <c r="A92" s="15" t="str">
        <f>'Récap'!A92</f>
        <v>438f91a3a02080977006d5b4ee2c29f6e0d0b58e848dc92712f3982a1449f481</v>
      </c>
      <c r="B92" s="3">
        <f t="shared" si="3"/>
        <v>-1.226089681</v>
      </c>
      <c r="C92" s="3">
        <f t="shared" ref="C92:H92" si="92">(XLOOKUP($A92, INDIRECT("'"&amp;C$1&amp;"'!A:A"), INDIRECT("'"&amp;C$1&amp;"'!B:B"), "")-AVERAGE(INDIRECT("'"&amp;C$1&amp;"'!B2:B")))/STDEV(INDIRECT("'"&amp;C$1&amp;"'!B2:B"))</f>
        <v>-1.088641892</v>
      </c>
      <c r="D92" s="3">
        <f t="shared" si="92"/>
        <v>-0.6342362901</v>
      </c>
      <c r="E92" s="3">
        <f t="shared" si="92"/>
        <v>-0.91682969</v>
      </c>
      <c r="F92" s="3">
        <f t="shared" si="92"/>
        <v>0.5485730937</v>
      </c>
      <c r="G92" s="3">
        <f t="shared" si="92"/>
        <v>-0.8146049511</v>
      </c>
      <c r="H92" s="3">
        <f t="shared" si="92"/>
        <v>0.02865088565</v>
      </c>
    </row>
    <row r="93">
      <c r="A93" s="15" t="str">
        <f>'Récap'!A93</f>
        <v>b2739ffce4a91e9880373035f1a135a3772577ebe8a9e985482de17ccedccefd</v>
      </c>
      <c r="B93" s="3">
        <f t="shared" si="3"/>
        <v>0.09223995213</v>
      </c>
      <c r="C93" s="3">
        <f t="shared" ref="C93:H93" si="93">(XLOOKUP($A93, INDIRECT("'"&amp;C$1&amp;"'!A:A"), INDIRECT("'"&amp;C$1&amp;"'!B:B"), "")-AVERAGE(INDIRECT("'"&amp;C$1&amp;"'!B2:B")))/STDEV(INDIRECT("'"&amp;C$1&amp;"'!B2:B"))</f>
        <v>-0.3287599962</v>
      </c>
      <c r="D93" s="3">
        <f t="shared" si="93"/>
        <v>-0.06967261625</v>
      </c>
      <c r="E93" s="3">
        <f t="shared" si="93"/>
        <v>1.876302621</v>
      </c>
      <c r="F93" s="3">
        <f t="shared" si="93"/>
        <v>0.01006308038</v>
      </c>
      <c r="G93" s="3">
        <f t="shared" si="93"/>
        <v>1.421931505</v>
      </c>
      <c r="H93" s="3">
        <f t="shared" si="93"/>
        <v>0.1331424408</v>
      </c>
    </row>
    <row r="94">
      <c r="A94" s="15" t="str">
        <f>'Récap'!A94</f>
        <v>322817f4854f2f71b85db9d2e7c04e4a44c91ea866c689f277a658abc7d22b12</v>
      </c>
      <c r="B94" s="3">
        <f t="shared" si="3"/>
        <v>-1.226089681</v>
      </c>
      <c r="C94" s="3">
        <f t="shared" ref="C94:H94" si="94">(XLOOKUP($A94, INDIRECT("'"&amp;C$1&amp;"'!A:A"), INDIRECT("'"&amp;C$1&amp;"'!B:B"), "")-AVERAGE(INDIRECT("'"&amp;C$1&amp;"'!B2:B")))/STDEV(INDIRECT("'"&amp;C$1&amp;"'!B2:B"))</f>
        <v>-1.088641892</v>
      </c>
      <c r="D94" s="3">
        <f t="shared" si="94"/>
        <v>0.400797112</v>
      </c>
      <c r="E94" s="3">
        <f t="shared" si="94"/>
        <v>0.9452585176</v>
      </c>
      <c r="F94" s="3">
        <f t="shared" si="94"/>
        <v>1.435530763</v>
      </c>
      <c r="G94" s="3">
        <f t="shared" si="94"/>
        <v>0.210474258</v>
      </c>
      <c r="H94" s="3">
        <f t="shared" si="94"/>
        <v>0.9796881858</v>
      </c>
    </row>
    <row r="95">
      <c r="A95" s="15" t="str">
        <f>'Récap'!A95</f>
        <v>8dd7d47134248a03ffb88fe97e5ab8501d976a5d539ff01c30727b79ede1424f</v>
      </c>
      <c r="B95" s="3">
        <f t="shared" si="3"/>
        <v>1.080987177</v>
      </c>
      <c r="C95" s="3">
        <f t="shared" ref="C95:H95" si="95">(XLOOKUP($A95, INDIRECT("'"&amp;C$1&amp;"'!A:A"), INDIRECT("'"&amp;C$1&amp;"'!B:B"), "")-AVERAGE(INDIRECT("'"&amp;C$1&amp;"'!B2:B")))/STDEV(INDIRECT("'"&amp;C$1&amp;"'!B2:B"))</f>
        <v>1.196632581</v>
      </c>
      <c r="D95" s="3">
        <f t="shared" si="95"/>
        <v>0.4948910577</v>
      </c>
      <c r="E95" s="3">
        <f t="shared" si="95"/>
        <v>0.9452585176</v>
      </c>
      <c r="F95" s="3">
        <f t="shared" si="95"/>
        <v>-0.8874536085</v>
      </c>
      <c r="G95" s="3">
        <f t="shared" si="95"/>
        <v>0.150175481</v>
      </c>
      <c r="H95" s="3">
        <f t="shared" si="95"/>
        <v>-0.8179370267</v>
      </c>
    </row>
    <row r="96">
      <c r="A96" s="15" t="str">
        <f>'Récap'!A96</f>
        <v>40c1d250c97702986524dae1c4014dbac4abddab4fbfd395737f4e2fe64a247d</v>
      </c>
      <c r="B96" s="3">
        <f t="shared" si="3"/>
        <v>-0.6108691855</v>
      </c>
      <c r="C96" s="3">
        <f t="shared" ref="C96:H96" si="96">(XLOOKUP($A96, INDIRECT("'"&amp;C$1&amp;"'!A:A"), INDIRECT("'"&amp;C$1&amp;"'!B:B"), "")-AVERAGE(INDIRECT("'"&amp;C$1&amp;"'!B2:B")))/STDEV(INDIRECT("'"&amp;C$1&amp;"'!B2:B"))</f>
        <v>-0.6010509993</v>
      </c>
      <c r="D96" s="3">
        <f t="shared" si="96"/>
        <v>1.624018405</v>
      </c>
      <c r="E96" s="3">
        <f t="shared" si="96"/>
        <v>0.0142144138</v>
      </c>
      <c r="F96" s="3">
        <f t="shared" si="96"/>
        <v>0.440871091</v>
      </c>
      <c r="G96" s="3">
        <f t="shared" si="96"/>
        <v>-0.5318244796</v>
      </c>
      <c r="H96" s="3">
        <f t="shared" si="96"/>
        <v>0.5533662363</v>
      </c>
    </row>
    <row r="97">
      <c r="A97" s="15" t="str">
        <f>'Récap'!A97</f>
        <v>d46637522853433efdf1806e2e5336c312d5ba0ff0a32b80468e96b8abf11c04</v>
      </c>
      <c r="B97" s="3">
        <f t="shared" si="3"/>
        <v>0.764329569</v>
      </c>
      <c r="C97" s="3">
        <f t="shared" ref="C97:H97" si="97">(XLOOKUP($A97, INDIRECT("'"&amp;C$1&amp;"'!A:A"), INDIRECT("'"&amp;C$1&amp;"'!B:B"), "")-AVERAGE(INDIRECT("'"&amp;C$1&amp;"'!B2:B")))/STDEV(INDIRECT("'"&amp;C$1&amp;"'!B2:B"))</f>
        <v>1.014691355</v>
      </c>
      <c r="D97" s="3">
        <f t="shared" si="97"/>
        <v>0.8712668403</v>
      </c>
      <c r="E97" s="3">
        <f t="shared" si="97"/>
        <v>1.876302621</v>
      </c>
      <c r="F97" s="3">
        <f t="shared" si="97"/>
        <v>-0.2836696542</v>
      </c>
      <c r="G97" s="3">
        <f t="shared" si="97"/>
        <v>0.356914145</v>
      </c>
      <c r="H97" s="3">
        <f t="shared" si="97"/>
        <v>-0.2338611676</v>
      </c>
    </row>
    <row r="98">
      <c r="A98" s="15" t="str">
        <f>'Récap'!A98</f>
        <v>bb0c30cc3cd79a7b954b6a58338b43ab5c258562b868a12e26fa432eed432da9</v>
      </c>
      <c r="B98" s="3">
        <f t="shared" si="3"/>
        <v>0.8246453038</v>
      </c>
      <c r="C98" s="3">
        <f t="shared" ref="C98:H98" si="98">(XLOOKUP($A98, INDIRECT("'"&amp;C$1&amp;"'!A:A"), INDIRECT("'"&amp;C$1&amp;"'!B:B"), "")-AVERAGE(INDIRECT("'"&amp;C$1&amp;"'!B2:B")))/STDEV(INDIRECT("'"&amp;C$1&amp;"'!B2:B"))</f>
        <v>0.4874094635</v>
      </c>
      <c r="D98" s="3">
        <f t="shared" si="98"/>
        <v>-0.8224241815</v>
      </c>
      <c r="E98" s="3">
        <f t="shared" si="98"/>
        <v>-0.91682969</v>
      </c>
      <c r="F98" s="3">
        <f t="shared" si="98"/>
        <v>-0.7977019396</v>
      </c>
      <c r="G98" s="3">
        <f t="shared" si="98"/>
        <v>-0.8146049511</v>
      </c>
      <c r="H98" s="3">
        <f t="shared" si="98"/>
        <v>-0.7740721294</v>
      </c>
    </row>
    <row r="99">
      <c r="A99" s="15" t="str">
        <f>'Récap'!A99</f>
        <v>fcc829e7dd1db87335c46064982f06853c8a5c39399202b284952458b04f0d5d</v>
      </c>
      <c r="B99" s="3">
        <f t="shared" si="3"/>
        <v>-0.3871526417</v>
      </c>
      <c r="C99" s="3">
        <f t="shared" ref="C99:H99" si="99">(XLOOKUP($A99, INDIRECT("'"&amp;C$1&amp;"'!A:A"), INDIRECT("'"&amp;C$1&amp;"'!B:B"), "")-AVERAGE(INDIRECT("'"&amp;C$1&amp;"'!B2:B")))/STDEV(INDIRECT("'"&amp;C$1&amp;"'!B2:B"))</f>
        <v>-0.4976226162</v>
      </c>
      <c r="D99" s="3">
        <f t="shared" si="99"/>
        <v>0.02442132941</v>
      </c>
      <c r="E99" s="3">
        <f t="shared" si="99"/>
        <v>0.9452585176</v>
      </c>
      <c r="F99" s="3">
        <f t="shared" si="99"/>
        <v>0.382877705</v>
      </c>
      <c r="G99" s="3">
        <f t="shared" si="99"/>
        <v>0.5521673277</v>
      </c>
      <c r="H99" s="3">
        <f t="shared" si="99"/>
        <v>0.2115807961</v>
      </c>
    </row>
    <row r="100">
      <c r="A100" s="15" t="str">
        <f>'Récap'!A100</f>
        <v>7018f9f84b61c5801779302689a34fef5b2e9d95f52479d9ef486efda2e55c21</v>
      </c>
      <c r="B100" s="3">
        <f t="shared" si="3"/>
        <v>1.465499987</v>
      </c>
      <c r="C100" s="3">
        <f t="shared" ref="C100:H100" si="100">(XLOOKUP($A100, INDIRECT("'"&amp;C$1&amp;"'!A:A"), INDIRECT("'"&amp;C$1&amp;"'!B:B"), "")-AVERAGE(INDIRECT("'"&amp;C$1&amp;"'!B2:B")))/STDEV(INDIRECT("'"&amp;C$1&amp;"'!B2:B"))</f>
        <v>1.626352853</v>
      </c>
      <c r="D100" s="3">
        <f t="shared" si="100"/>
        <v>-0.3519544532</v>
      </c>
      <c r="E100" s="3">
        <f t="shared" si="100"/>
        <v>-0.91682969</v>
      </c>
      <c r="F100" s="3">
        <f t="shared" si="100"/>
        <v>-1.246460284</v>
      </c>
      <c r="G100" s="3">
        <f t="shared" si="100"/>
        <v>-0.8146049511</v>
      </c>
      <c r="H100" s="3">
        <f t="shared" si="100"/>
        <v>-1.08112503</v>
      </c>
    </row>
    <row r="101">
      <c r="A101" s="15" t="str">
        <f>'Récap'!A101</f>
        <v>86d73054aa9c80dbfbfce326489454f67087052ce0720f75ec87b849d851ce2b</v>
      </c>
      <c r="B101" s="3">
        <f t="shared" si="3"/>
        <v>0.5316831631</v>
      </c>
      <c r="C101" s="3">
        <f t="shared" ref="C101:H101" si="101">(XLOOKUP($A101, INDIRECT("'"&amp;C$1&amp;"'!A:A"), INDIRECT("'"&amp;C$1&amp;"'!B:B"), "")-AVERAGE(INDIRECT("'"&amp;C$1&amp;"'!B2:B")))/STDEV(INDIRECT("'"&amp;C$1&amp;"'!B2:B"))</f>
        <v>0.5324395286</v>
      </c>
      <c r="D101" s="3">
        <f t="shared" si="101"/>
        <v>-0.4460483988</v>
      </c>
      <c r="E101" s="3">
        <f t="shared" si="101"/>
        <v>0.0142144138</v>
      </c>
      <c r="F101" s="3">
        <f t="shared" si="101"/>
        <v>-0.7977019396</v>
      </c>
      <c r="G101" s="3">
        <f t="shared" si="101"/>
        <v>0.356914145</v>
      </c>
      <c r="H101" s="3">
        <f t="shared" si="101"/>
        <v>-1.06310936</v>
      </c>
    </row>
    <row r="102">
      <c r="A102" s="15" t="str">
        <f>'Récap'!A102</f>
        <v>8535ef1089f557f019e2fa787114fa1819dadf2106ea8f0b82f86e57f914ea2d</v>
      </c>
      <c r="B102" s="3">
        <f t="shared" si="3"/>
        <v>0.3119615576</v>
      </c>
      <c r="C102" s="3">
        <f t="shared" ref="C102:H102" si="102">(XLOOKUP($A102, INDIRECT("'"&amp;C$1&amp;"'!A:A"), INDIRECT("'"&amp;C$1&amp;"'!B:B"), "")-AVERAGE(INDIRECT("'"&amp;C$1&amp;"'!B2:B")))/STDEV(INDIRECT("'"&amp;C$1&amp;"'!B2:B"))</f>
        <v>0.3298043421</v>
      </c>
      <c r="D102" s="3">
        <f t="shared" si="102"/>
        <v>-0.2578605075</v>
      </c>
      <c r="E102" s="3">
        <f t="shared" si="102"/>
        <v>0.0142144138</v>
      </c>
      <c r="F102" s="3">
        <f t="shared" si="102"/>
        <v>-0.6361489356</v>
      </c>
      <c r="G102" s="3">
        <f t="shared" si="102"/>
        <v>0.09657656808</v>
      </c>
      <c r="H102" s="3">
        <f t="shared" si="102"/>
        <v>-0.7409859366</v>
      </c>
    </row>
    <row r="103">
      <c r="A103" s="15" t="str">
        <f>'Récap'!A103</f>
        <v>3d85bc081b5cbae4e23792cd67c1c0fd9af811e86418a20d777c3fbe812ba910</v>
      </c>
      <c r="B103" s="3">
        <f t="shared" si="3"/>
        <v>-1.226089681</v>
      </c>
      <c r="C103" s="3">
        <f t="shared" ref="C103:H103" si="103">(XLOOKUP($A103, INDIRECT("'"&amp;C$1&amp;"'!A:A"), INDIRECT("'"&amp;C$1&amp;"'!B:B"), "")-AVERAGE(INDIRECT("'"&amp;C$1&amp;"'!B2:B")))/STDEV(INDIRECT("'"&amp;C$1&amp;"'!B2:B"))</f>
        <v>-1.088641892</v>
      </c>
      <c r="D103" s="3">
        <f t="shared" si="103"/>
        <v>-0.7283302358</v>
      </c>
      <c r="E103" s="3">
        <f t="shared" si="103"/>
        <v>0.0142144138</v>
      </c>
      <c r="F103" s="3">
        <f t="shared" si="103"/>
        <v>1.62559312</v>
      </c>
      <c r="G103" s="3">
        <f t="shared" si="103"/>
        <v>1.235553467</v>
      </c>
      <c r="H103" s="3">
        <f t="shared" si="103"/>
        <v>1.255825083</v>
      </c>
    </row>
    <row r="104">
      <c r="A104" s="15" t="str">
        <f>'Récap'!A104</f>
        <v>a1a57315af0421443e73ff39f4cc4afaabfb05e5c435fafd3504fd91ab223453</v>
      </c>
      <c r="B104" s="3">
        <f t="shared" si="3"/>
        <v>1.850012796</v>
      </c>
      <c r="C104" s="3">
        <f t="shared" ref="C104:H104" si="104">(XLOOKUP($A104, INDIRECT("'"&amp;C$1&amp;"'!A:A"), INDIRECT("'"&amp;C$1&amp;"'!B:B"), "")-AVERAGE(INDIRECT("'"&amp;C$1&amp;"'!B2:B")))/STDEV(INDIRECT("'"&amp;C$1&amp;"'!B2:B"))</f>
        <v>1.950885763</v>
      </c>
      <c r="D104" s="3">
        <f t="shared" si="104"/>
        <v>-0.5401423445</v>
      </c>
      <c r="E104" s="3">
        <f t="shared" si="104"/>
        <v>-0.91682969</v>
      </c>
      <c r="F104" s="3">
        <f t="shared" si="104"/>
        <v>-1.60546696</v>
      </c>
      <c r="G104" s="3">
        <f t="shared" si="104"/>
        <v>-0.8146049511</v>
      </c>
      <c r="H104" s="3">
        <f t="shared" si="104"/>
        <v>-1.484679899</v>
      </c>
    </row>
    <row r="105">
      <c r="A105" s="15" t="str">
        <f>'Récap'!A105</f>
        <v>aff3f9448ca917cc6f9b0fa8f92a2dadcee4f890337259421ce866e71ff22c49</v>
      </c>
      <c r="B105" s="3">
        <f t="shared" si="3"/>
        <v>0.6964743673</v>
      </c>
      <c r="C105" s="3">
        <f t="shared" ref="C105:H105" si="105">(XLOOKUP($A105, INDIRECT("'"&amp;C$1&amp;"'!A:A"), INDIRECT("'"&amp;C$1&amp;"'!B:B"), "")-AVERAGE(INDIRECT("'"&amp;C$1&amp;"'!B2:B")))/STDEV(INDIRECT("'"&amp;C$1&amp;"'!B2:B"))</f>
        <v>0.758293297</v>
      </c>
      <c r="D105" s="3">
        <f t="shared" si="105"/>
        <v>-0.1637665619</v>
      </c>
      <c r="E105" s="3">
        <f t="shared" si="105"/>
        <v>0.0142144138</v>
      </c>
      <c r="F105" s="3">
        <f t="shared" si="105"/>
        <v>-0.4305360214</v>
      </c>
      <c r="G105" s="3">
        <f t="shared" si="105"/>
        <v>0.005458416167</v>
      </c>
      <c r="H105" s="3">
        <f t="shared" si="105"/>
        <v>-0.2582922827</v>
      </c>
    </row>
    <row r="106">
      <c r="A106" s="15" t="str">
        <f>'Récap'!A106</f>
        <v>78cb6709ef3e4aa9ec5148bce49e841e9a6257b64dff512fdffde18f1e1fcd14</v>
      </c>
      <c r="B106" s="3">
        <f t="shared" si="3"/>
        <v>1.140142994</v>
      </c>
      <c r="C106" s="3">
        <f t="shared" ref="C106:H106" si="106">(XLOOKUP($A106, INDIRECT("'"&amp;C$1&amp;"'!A:A"), INDIRECT("'"&amp;C$1&amp;"'!B:B"), "")-AVERAGE(INDIRECT("'"&amp;C$1&amp;"'!B2:B")))/STDEV(INDIRECT("'"&amp;C$1&amp;"'!B2:B"))</f>
        <v>1.391159219</v>
      </c>
      <c r="D106" s="3">
        <f t="shared" si="106"/>
        <v>0.1185152751</v>
      </c>
      <c r="E106" s="3">
        <f t="shared" si="106"/>
        <v>-0.91682969</v>
      </c>
      <c r="F106" s="3">
        <f t="shared" si="106"/>
        <v>-0.9130969424</v>
      </c>
      <c r="G106" s="3">
        <f t="shared" si="106"/>
        <v>-0.8146049511</v>
      </c>
      <c r="H106" s="3">
        <f t="shared" si="106"/>
        <v>-0.7966313513</v>
      </c>
    </row>
    <row r="107">
      <c r="A107" s="15" t="str">
        <f>'Récap'!A107</f>
        <v>519b74a02a32927ee8af772a01038d36736eb2aaeb604f8a15719710d72ccc04</v>
      </c>
      <c r="B107" s="3">
        <f t="shared" si="3"/>
        <v>1.307171183</v>
      </c>
      <c r="C107" s="3">
        <f t="shared" ref="C107:H107" si="107">(XLOOKUP($A107, INDIRECT("'"&amp;C$1&amp;"'!A:A"), INDIRECT("'"&amp;C$1&amp;"'!B:B"), "")-AVERAGE(INDIRECT("'"&amp;C$1&amp;"'!B2:B")))/STDEV(INDIRECT("'"&amp;C$1&amp;"'!B2:B"))</f>
        <v>1.475180705</v>
      </c>
      <c r="D107" s="3">
        <f t="shared" si="107"/>
        <v>0.683078949</v>
      </c>
      <c r="E107" s="3">
        <f t="shared" si="107"/>
        <v>-0.91682969</v>
      </c>
      <c r="F107" s="3">
        <f t="shared" si="107"/>
        <v>-1.120807948</v>
      </c>
      <c r="G107" s="3">
        <f t="shared" si="107"/>
        <v>-0.8146049511</v>
      </c>
      <c r="H107" s="3">
        <f t="shared" si="107"/>
        <v>-0.9635677768</v>
      </c>
    </row>
    <row r="108">
      <c r="A108" s="15" t="str">
        <f>'Récap'!A108</f>
        <v>6b689d246c11ea35bf66a151aa4d7d83d1e1b11f9f3a3876c5d609048ea310f8</v>
      </c>
      <c r="B108" s="3">
        <f t="shared" si="3"/>
        <v>-0.4570640616</v>
      </c>
      <c r="C108" s="3">
        <f t="shared" ref="C108:H108" si="108">(XLOOKUP($A108, INDIRECT("'"&amp;C$1&amp;"'!A:A"), INDIRECT("'"&amp;C$1&amp;"'!B:B"), "")-AVERAGE(INDIRECT("'"&amp;C$1&amp;"'!B2:B")))/STDEV(INDIRECT("'"&amp;C$1&amp;"'!B2:B"))</f>
        <v>-0.6453774441</v>
      </c>
      <c r="D108" s="3">
        <f t="shared" si="108"/>
        <v>-0.1637665619</v>
      </c>
      <c r="E108" s="3">
        <f t="shared" si="108"/>
        <v>0.0142144138</v>
      </c>
      <c r="F108" s="3">
        <f t="shared" si="108"/>
        <v>0.1569294476</v>
      </c>
      <c r="G108" s="3">
        <f t="shared" si="108"/>
        <v>0.005458416167</v>
      </c>
      <c r="H108" s="3">
        <f t="shared" si="108"/>
        <v>0.001135771888</v>
      </c>
    </row>
    <row r="109">
      <c r="A109" s="15" t="str">
        <f>'Récap'!A109</f>
        <v>155464e7a35faffd6b3b4f2e6b757098204e8a24221641b58ee8156acfd2e1fc</v>
      </c>
      <c r="B109" s="3">
        <f t="shared" si="3"/>
        <v>-0.4570640616</v>
      </c>
      <c r="C109" s="3">
        <f t="shared" ref="C109:H109" si="109">(XLOOKUP($A109, INDIRECT("'"&amp;C$1&amp;"'!A:A"), INDIRECT("'"&amp;C$1&amp;"'!B:B"), "")-AVERAGE(INDIRECT("'"&amp;C$1&amp;"'!B2:B")))/STDEV(INDIRECT("'"&amp;C$1&amp;"'!B2:B"))</f>
        <v>-0.4976226162</v>
      </c>
      <c r="D109" s="3">
        <f t="shared" si="109"/>
        <v>-0.2578605075</v>
      </c>
      <c r="E109" s="3">
        <f t="shared" si="109"/>
        <v>-0.91682969</v>
      </c>
      <c r="F109" s="3">
        <f t="shared" si="109"/>
        <v>0.3331690884</v>
      </c>
      <c r="G109" s="3">
        <f t="shared" si="109"/>
        <v>-0.8146049511</v>
      </c>
      <c r="H109" s="3">
        <f t="shared" si="109"/>
        <v>0.4226805598</v>
      </c>
    </row>
    <row r="110">
      <c r="A110" s="15" t="str">
        <f>'Récap'!A110</f>
        <v>a1437f4d7c5982c950cc3bb1cfab162aa1470eb7263b45d865b404015088558b</v>
      </c>
      <c r="B110" s="3">
        <f t="shared" si="3"/>
        <v>-1.226089681</v>
      </c>
      <c r="C110" s="3">
        <f t="shared" ref="C110:H110" si="110">(XLOOKUP($A110, INDIRECT("'"&amp;C$1&amp;"'!A:A"), INDIRECT("'"&amp;C$1&amp;"'!B:B"), "")-AVERAGE(INDIRECT("'"&amp;C$1&amp;"'!B2:B")))/STDEV(INDIRECT("'"&amp;C$1&amp;"'!B2:B"))</f>
        <v>-1.088641892</v>
      </c>
      <c r="D110" s="3">
        <f t="shared" si="110"/>
        <v>-0.8224241815</v>
      </c>
      <c r="E110" s="3">
        <f t="shared" si="110"/>
        <v>0.0142144138</v>
      </c>
      <c r="F110" s="3">
        <f t="shared" si="110"/>
        <v>0.8178281003</v>
      </c>
      <c r="G110" s="3">
        <f t="shared" si="110"/>
        <v>1.918939606</v>
      </c>
      <c r="H110" s="3">
        <f t="shared" si="110"/>
        <v>0.08368133109</v>
      </c>
    </row>
    <row r="111">
      <c r="A111" s="15" t="str">
        <f>'Récap'!A111</f>
        <v>4225b96eae6636e51ed4b87746263b9e5d0e927d67326324fbf1544230fa6fb8</v>
      </c>
      <c r="B111" s="3">
        <f t="shared" si="3"/>
        <v>-0.6108691855</v>
      </c>
      <c r="C111" s="3">
        <f t="shared" ref="C111:H111" si="111">(XLOOKUP($A111, INDIRECT("'"&amp;C$1&amp;"'!A:A"), INDIRECT("'"&amp;C$1&amp;"'!B:B"), "")-AVERAGE(INDIRECT("'"&amp;C$1&amp;"'!B2:B")))/STDEV(INDIRECT("'"&amp;C$1&amp;"'!B2:B"))</f>
        <v>-0.7340303338</v>
      </c>
      <c r="D111" s="3">
        <f t="shared" si="111"/>
        <v>-0.6342362901</v>
      </c>
      <c r="E111" s="3">
        <f t="shared" si="111"/>
        <v>-0.91682969</v>
      </c>
      <c r="F111" s="3">
        <f t="shared" si="111"/>
        <v>0.5485730937</v>
      </c>
      <c r="G111" s="3">
        <f t="shared" si="111"/>
        <v>-0.8146049511</v>
      </c>
      <c r="H111" s="3">
        <f t="shared" si="111"/>
        <v>-0.08140884299</v>
      </c>
    </row>
    <row r="112">
      <c r="A112" s="15" t="str">
        <f>'Récap'!A112</f>
        <v/>
      </c>
    </row>
    <row r="113">
      <c r="A113" s="15" t="str">
        <f>'Récap'!A113</f>
        <v/>
      </c>
    </row>
    <row r="114">
      <c r="A114" s="15" t="str">
        <f>'Récap'!A114</f>
        <v/>
      </c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tr">
        <f>'Récap'!E1</f>
        <v>EQ</v>
      </c>
      <c r="C1" s="6" t="str">
        <f>'Récap'!F1</f>
        <v>RED</v>
      </c>
      <c r="D1" s="3" t="str">
        <f>'Récap'!G1</f>
        <v>Comp_Count</v>
      </c>
      <c r="E1" s="3" t="str">
        <f>'Récap'!H1</f>
        <v>Sess_Count</v>
      </c>
      <c r="F1" s="3" t="str">
        <f>'Récap'!I1</f>
        <v>Comp_FP_Ratio</v>
      </c>
      <c r="G1" s="3" t="str">
        <f>'Récap'!J1</f>
        <v>Frac_Long</v>
      </c>
      <c r="H1" s="3" t="str">
        <f>'Récap'!K1</f>
        <v>Mean_Test</v>
      </c>
      <c r="I1" s="3" t="str">
        <f>'Récap'!L1</f>
        <v>First_Compile</v>
      </c>
      <c r="J1" s="3" t="str">
        <f>'Récap'!M1</f>
        <v>Compile_Span</v>
      </c>
      <c r="K1" s="3" t="str">
        <f>'Récap'!N1</f>
        <v>Last_Compile</v>
      </c>
    </row>
    <row r="2">
      <c r="A2" s="6" t="str">
        <f>'Récap'!E$1</f>
        <v>EQ</v>
      </c>
      <c r="B2" s="3">
        <f>CORREL(ACP_Norm_Red!$B$2:$B1000,ACP_Norm_Red!B$2:B1000)</f>
        <v>1</v>
      </c>
      <c r="C2" s="3">
        <f>CORREL(ACP_Norm_Red!$B$2:$B1000,ACP_Norm_Red!C2:C1000)</f>
        <v>0.984623768</v>
      </c>
      <c r="D2" s="3">
        <f>CORREL(ACP_Norm_Red!$B$2:$B1000,ACP_Norm_Red!D2:D1000)</f>
        <v>0.03292577078</v>
      </c>
      <c r="E2" s="3">
        <f>CORREL(ACP_Norm_Red!$B$2:$B1000,ACP_Norm_Red!E2:E1000)</f>
        <v>-0.1758801005</v>
      </c>
      <c r="F2" s="3">
        <f>CORREL(ACP_Norm_Red!$B$2:$B1000,ACP_Norm_Red!F2:F1000)</f>
        <v>-0.9481456245</v>
      </c>
      <c r="G2" s="3">
        <f>CORREL(ACP_Norm_Red!$B$2:$B1000,ACP_Norm_Red!G2:G1000)</f>
        <v>-0.2731474254</v>
      </c>
      <c r="H2" s="3">
        <f>CORREL(ACP_Norm_Red!$B$2:$B1000,ACP_Norm_Red!H2:H1000)</f>
        <v>-0.8599683752</v>
      </c>
    </row>
    <row r="3">
      <c r="A3" s="6" t="str">
        <f>'Récap'!F$1</f>
        <v>RED</v>
      </c>
      <c r="B3" s="3">
        <f>CORREL(ACP_Norm_Red!$C$2:$C1000,ACP_Norm_Red!B$2:B1000)</f>
        <v>0.984623768</v>
      </c>
      <c r="C3" s="3">
        <f>CORREL(ACP_Norm_Red!$C$2:$C1000,ACP_Norm_Red!C$2:C1000)</f>
        <v>1</v>
      </c>
      <c r="D3" s="3">
        <f>CORREL(ACP_Norm_Red!$C$2:$C1000,ACP_Norm_Red!D$2:D1000)</f>
        <v>0.0865375327</v>
      </c>
      <c r="E3" s="3">
        <f>CORREL(ACP_Norm_Red!$C$2:$C1000,ACP_Norm_Red!E$2:E1000)</f>
        <v>-0.1273594332</v>
      </c>
      <c r="F3" s="3">
        <f>CORREL(ACP_Norm_Red!$C$2:$C1000,ACP_Norm_Red!F$2:F1000)</f>
        <v>-0.9235971435</v>
      </c>
      <c r="G3" s="3">
        <f>CORREL(ACP_Norm_Red!$C$2:$C1000,ACP_Norm_Red!G$2:G1000)</f>
        <v>-0.2495634584</v>
      </c>
      <c r="H3" s="3">
        <f>CORREL(ACP_Norm_Red!$C$2:$C1000,ACP_Norm_Red!H$2:H1000)</f>
        <v>-0.8425503152</v>
      </c>
    </row>
    <row r="4">
      <c r="A4" s="3" t="str">
        <f>'Récap'!G$1</f>
        <v>Comp_Count</v>
      </c>
      <c r="B4" s="3">
        <f>CORREL(ACP_Norm_Red!$D$2:$D1000,ACP_Norm_Red!B$2:B1000)</f>
        <v>0.03292577078</v>
      </c>
      <c r="C4" s="3">
        <f>CORREL(ACP_Norm_Red!$D$2:$D1000,ACP_Norm_Red!C$2:C1000)</f>
        <v>0.0865375327</v>
      </c>
      <c r="D4" s="3">
        <f>CORREL(ACP_Norm_Red!$D$2:$D1000,ACP_Norm_Red!D$2:D1000)</f>
        <v>1</v>
      </c>
      <c r="E4" s="3">
        <f>CORREL(ACP_Norm_Red!$D$2:$D1000,ACP_Norm_Red!E$2:E1000)</f>
        <v>0.2681503596</v>
      </c>
      <c r="F4" s="3">
        <f>CORREL(ACP_Norm_Red!$D$2:$D1000,ACP_Norm_Red!F$2:F1000)</f>
        <v>0.0003438159592</v>
      </c>
      <c r="G4" s="3">
        <f>CORREL(ACP_Norm_Red!$D$2:$D1000,ACP_Norm_Red!G$2:G1000)</f>
        <v>-0.2377416732</v>
      </c>
      <c r="H4" s="3">
        <f>CORREL(ACP_Norm_Red!$D$2:$D1000,ACP_Norm_Red!H$2:H1000)</f>
        <v>0.01621893113</v>
      </c>
    </row>
    <row r="5">
      <c r="A5" s="3" t="str">
        <f>'Récap'!H$1</f>
        <v>Sess_Count</v>
      </c>
      <c r="B5" s="3">
        <f>CORREL(ACP_Norm_Red!$E$2:$E1000,ACP_Norm_Red!B$2:B1000)</f>
        <v>-0.1758801005</v>
      </c>
      <c r="C5" s="3">
        <f>CORREL(ACP_Norm_Red!$E$2:$E1000,ACP_Norm_Red!C$2:C1000)</f>
        <v>-0.1273594332</v>
      </c>
      <c r="D5" s="3">
        <f>CORREL(ACP_Norm_Red!$E$2:$E1000,ACP_Norm_Red!D$2:D1000)</f>
        <v>0.2681503596</v>
      </c>
      <c r="E5" s="3">
        <f>CORREL(ACP_Norm_Red!$E$2:$E1000,ACP_Norm_Red!E$2:E1000)</f>
        <v>1</v>
      </c>
      <c r="F5" s="3">
        <f>CORREL(ACP_Norm_Red!$E$2:$E1000,ACP_Norm_Red!F$2:F1000)</f>
        <v>0.1795150066</v>
      </c>
      <c r="G5" s="3">
        <f>CORREL(ACP_Norm_Red!$E$2:$E1000,ACP_Norm_Red!G$2:G1000)</f>
        <v>0.6298227312</v>
      </c>
      <c r="H5" s="3">
        <f>CORREL(ACP_Norm_Red!$E$2:$E1000,ACP_Norm_Red!H$2:H1000)</f>
        <v>0.1279779844</v>
      </c>
    </row>
    <row r="6">
      <c r="A6" s="3" t="str">
        <f>'Récap'!I$1</f>
        <v>Comp_FP_Ratio</v>
      </c>
      <c r="B6" s="3">
        <f>CORREL(ACP_Norm_Red!$F$2:$F1000,ACP_Norm_Red!B$2:B1000)</f>
        <v>-0.9481456245</v>
      </c>
      <c r="C6" s="3">
        <f>CORREL(ACP_Norm_Red!$F$2:$F1000,ACP_Norm_Red!C$2:C1000)</f>
        <v>-0.9235971435</v>
      </c>
      <c r="D6" s="3">
        <f>CORREL(ACP_Norm_Red!$F$2:$F1000,ACP_Norm_Red!D$2:D1000)</f>
        <v>0.0003438159592</v>
      </c>
      <c r="E6" s="3">
        <f>CORREL(ACP_Norm_Red!$F$2:$F1000,ACP_Norm_Red!E$2:E1000)</f>
        <v>0.1795150066</v>
      </c>
      <c r="F6" s="3">
        <f>CORREL(ACP_Norm_Red!$F$2:$F1000,ACP_Norm_Red!F$2:F1000)</f>
        <v>1</v>
      </c>
      <c r="G6" s="3">
        <f>CORREL(ACP_Norm_Red!$F$2:$F1000,ACP_Norm_Red!G$2:G1000)</f>
        <v>0.2434302232</v>
      </c>
      <c r="H6" s="3">
        <f>CORREL(ACP_Norm_Red!$F$2:$F1000,ACP_Norm_Red!H$2:H1000)</f>
        <v>0.9280916578</v>
      </c>
    </row>
    <row r="7">
      <c r="A7" s="3" t="str">
        <f>'Récap'!J$1</f>
        <v>Frac_Long</v>
      </c>
      <c r="B7" s="3">
        <f>CORREL(ACP_Norm_Red!$G$2:$G1000,ACP_Norm_Red!B$2:B1000)</f>
        <v>-0.2731474254</v>
      </c>
      <c r="C7" s="3">
        <f>CORREL(ACP_Norm_Red!$G$2:$G1000,ACP_Norm_Red!C$2:C1000)</f>
        <v>-0.2495634584</v>
      </c>
      <c r="D7" s="3">
        <f>CORREL(ACP_Norm_Red!$G$2:$G1000,ACP_Norm_Red!D$2:D1000)</f>
        <v>-0.2377416732</v>
      </c>
      <c r="E7" s="3">
        <f>CORREL(ACP_Norm_Red!$G$2:$G1000,ACP_Norm_Red!E$2:E1000)</f>
        <v>0.6298227312</v>
      </c>
      <c r="F7" s="3">
        <f>CORREL(ACP_Norm_Red!$G$2:$G1000,ACP_Norm_Red!F$2:F1000)</f>
        <v>0.2434302232</v>
      </c>
      <c r="G7" s="3">
        <f>CORREL(ACP_Norm_Red!$G$2:$G1000,ACP_Norm_Red!G$2:G1000)</f>
        <v>1</v>
      </c>
      <c r="H7" s="3">
        <f>CORREL(ACP_Norm_Red!$G$2:$G1000,ACP_Norm_Red!H$2:H1000)</f>
        <v>0.1916298069</v>
      </c>
    </row>
    <row r="8">
      <c r="A8" s="3" t="str">
        <f>'Récap'!K1</f>
        <v>Mean_Test</v>
      </c>
      <c r="B8" s="3">
        <f>CORREL(ACP_Norm_Red!$H$2:$H1000,ACP_Norm_Red!B$2:B1000)</f>
        <v>-0.8599683752</v>
      </c>
      <c r="C8" s="3">
        <f>CORREL(ACP_Norm_Red!$H$2:$H1000,ACP_Norm_Red!C$2:C1000)</f>
        <v>-0.8425503152</v>
      </c>
      <c r="D8" s="3">
        <f>CORREL(ACP_Norm_Red!$H$2:$H1000,ACP_Norm_Red!D$2:D1000)</f>
        <v>0.01621893113</v>
      </c>
      <c r="E8" s="3">
        <f>CORREL(ACP_Norm_Red!$H$2:$H1000,ACP_Norm_Red!E$2:E1000)</f>
        <v>0.1279779844</v>
      </c>
      <c r="F8" s="3">
        <f>CORREL(ACP_Norm_Red!$H$2:$H1000,ACP_Norm_Red!F$2:F1000)</f>
        <v>0.9280916578</v>
      </c>
      <c r="G8" s="3">
        <f>CORREL(ACP_Norm_Red!$H$2:$H1000,ACP_Norm_Red!G$2:G1000)</f>
        <v>0.1916298069</v>
      </c>
      <c r="H8" s="3">
        <f>CORREL(ACP_Norm_Red!$H$2:$H1000,ACP_Norm_Red!H$2:H1000)</f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L1" s="14" t="s">
        <v>0</v>
      </c>
      <c r="M1" s="2" t="s">
        <v>18</v>
      </c>
      <c r="N1" s="2" t="s">
        <v>19</v>
      </c>
      <c r="O1" s="2" t="s">
        <v>20</v>
      </c>
      <c r="R1" s="2" t="s">
        <v>138</v>
      </c>
      <c r="S1" s="2" t="s">
        <v>139</v>
      </c>
    </row>
    <row r="2">
      <c r="A2" s="10" t="s">
        <v>140</v>
      </c>
      <c r="B2" s="17" t="s">
        <v>18</v>
      </c>
      <c r="C2" s="17" t="s">
        <v>19</v>
      </c>
      <c r="D2" s="17" t="s">
        <v>20</v>
      </c>
      <c r="E2" s="17" t="s">
        <v>21</v>
      </c>
      <c r="F2" s="17" t="s">
        <v>22</v>
      </c>
      <c r="G2" s="17" t="s">
        <v>23</v>
      </c>
      <c r="H2" s="17" t="s">
        <v>24</v>
      </c>
      <c r="L2" s="15" t="str">
        <f>'Récap'!A22</f>
        <v>091dc109aa58c7a670f4b61bc23df548fec73c05c7582dfb7c51f3a925d3618f</v>
      </c>
      <c r="M2" s="3">
        <f t="array" ref="M2">(XLOOKUP(L2, ACP_Norm_Red!A:A, ACP_Norm_Red!B:B, "")*$B$3) + 
(XLOOKUP(L2, ACP_Norm_Red!A:A, ACP_Norm_Red!C:C, "")*$B$4) + 
(XLOOKUP(L2, ACP_Norm_Red!A:A, ACP_Norm_Red!D:D, "")*$B$5) +
(XLOOKUP(L2, ACP_Norm_Red!A:A, ACP_Norm_Red!E:E, "")*$B$6) +
(XLOOKUP(L2, ACP_Norm_Red!A:A, ACP_Norm_Red!F:F, "")*$B$7) +
(XLOOKUP(L2, ACP_Norm_Red!A:A, ACP_Norm_Red!G:G, "")*$B$8) +
(XLOOKUP(L2, ACP_Norm_Red!A:A, ACP_Norm_Red!H:H, "")*$B$9)</f>
        <v>2.701427784</v>
      </c>
      <c r="N2" s="3">
        <f t="array" ref="N2">(XLOOKUP(L2, ACP_Norm_Red!A:A, ACP_Norm_Red!B:B, "")*$C$3) + 
(XLOOKUP(L2, ACP_Norm_Red!A:A, ACP_Norm_Red!C:C, "")*$C$4) + 
(XLOOKUP(L2, ACP_Norm_Red!A:A, ACP_Norm_Red!D:D, "")*$C$5) +
(XLOOKUP(L2, ACP_Norm_Red!A:A, ACP_Norm_Red!E:E, "")*$C$6) +
(XLOOKUP(L2, ACP_Norm_Red!A:A, ACP_Norm_Red!F:F, "")*$C$7) +
(XLOOKUP(L2, ACP_Norm_Red!A:A, ACP_Norm_Red!G:G, "")*$C$8) +
(XLOOKUP(L2, ACP_Norm_Red!A:A, ACP_Norm_Red!H:H, "")*$C$9)</f>
        <v>0.9610980062</v>
      </c>
      <c r="O2" s="3">
        <f t="array" ref="O2">(XLOOKUP(L2, ACP_Norm_Red!A:A, ACP_Norm_Red!B:B, "")*$D$3) + 
(XLOOKUP(L2, ACP_Norm_Red!A:A, ACP_Norm_Red!C:C, "")*$D$4) + 
(XLOOKUP(L2, ACP_Norm_Red!A:A, ACP_Norm_Red!D:D, "")*$D$5) +
(XLOOKUP(L2, ACP_Norm_Red!A:A, ACP_Norm_Red!E:E, "")*$D$6) +
(XLOOKUP(L2, ACP_Norm_Red!A:A, ACP_Norm_Red!F:F, "")*$D$7) +
(XLOOKUP(L2, ACP_Norm_Red!A:A, ACP_Norm_Red!G:G, "")*$D$8) +
(XLOOKUP(L2, ACP_Norm_Red!A:A, ACP_Norm_Red!H:H, "")*$D$9)</f>
        <v>-1.942615105</v>
      </c>
      <c r="R2" s="3" t="s">
        <v>83</v>
      </c>
      <c r="S2" s="3" t="s">
        <v>33</v>
      </c>
    </row>
    <row r="3">
      <c r="A3" s="17" t="s">
        <v>4</v>
      </c>
      <c r="B3" s="12">
        <v>-0.49406</v>
      </c>
      <c r="C3" s="12">
        <v>0.094458</v>
      </c>
      <c r="D3" s="12">
        <v>0.014908</v>
      </c>
      <c r="E3" s="12">
        <v>-0.03481</v>
      </c>
      <c r="F3" s="12">
        <v>-0.40434</v>
      </c>
      <c r="G3" s="12">
        <v>0.029071</v>
      </c>
      <c r="H3" s="12">
        <v>0.762374</v>
      </c>
      <c r="L3" s="15" t="str">
        <f>'Récap'!A3</f>
        <v>351cff49ce968bd6bb542470c3004131a5042932b5f2cb0e7ea8492770b77485</v>
      </c>
      <c r="M3" s="3">
        <f t="array" ref="M3">(XLOOKUP(L3, ACP_Norm_Red!A:A, ACP_Norm_Red!B:B, "")*$B$3) + 
(XLOOKUP(L3, ACP_Norm_Red!A:A, ACP_Norm_Red!C:C, "")*$B$4) + 
(XLOOKUP(L3, ACP_Norm_Red!A:A, ACP_Norm_Red!D:D, "")*$B$5) +
(XLOOKUP(L3, ACP_Norm_Red!A:A, ACP_Norm_Red!E:E, "")*$B$6) +
(XLOOKUP(L3, ACP_Norm_Red!A:A, ACP_Norm_Red!F:F, "")*$B$7) +
(XLOOKUP(L3, ACP_Norm_Red!A:A, ACP_Norm_Red!G:G, "")*$B$8) +
(XLOOKUP(L3, ACP_Norm_Red!A:A, ACP_Norm_Red!H:H, "")*$B$9)</f>
        <v>0.4286084454</v>
      </c>
      <c r="N3" s="3">
        <f t="array" ref="N3">(XLOOKUP(L3, ACP_Norm_Red!A:A, ACP_Norm_Red!B:B, "")*$C$3) + 
(XLOOKUP(L3, ACP_Norm_Red!A:A, ACP_Norm_Red!C:C, "")*$C$4) + 
(XLOOKUP(L3, ACP_Norm_Red!A:A, ACP_Norm_Red!D:D, "")*$C$5) +
(XLOOKUP(L3, ACP_Norm_Red!A:A, ACP_Norm_Red!E:E, "")*$C$6) +
(XLOOKUP(L3, ACP_Norm_Red!A:A, ACP_Norm_Red!F:F, "")*$C$7) +
(XLOOKUP(L3, ACP_Norm_Red!A:A, ACP_Norm_Red!G:G, "")*$C$8) +
(XLOOKUP(L3, ACP_Norm_Red!A:A, ACP_Norm_Red!H:H, "")*$C$9)</f>
        <v>0.6760102551</v>
      </c>
      <c r="O3" s="3">
        <f t="array" ref="O3">(XLOOKUP(L3, ACP_Norm_Red!A:A, ACP_Norm_Red!B:B, "")*$D$3) + 
(XLOOKUP(L3, ACP_Norm_Red!A:A, ACP_Norm_Red!C:C, "")*$D$4) + 
(XLOOKUP(L3, ACP_Norm_Red!A:A, ACP_Norm_Red!D:D, "")*$D$5) +
(XLOOKUP(L3, ACP_Norm_Red!A:A, ACP_Norm_Red!E:E, "")*$D$6) +
(XLOOKUP(L3, ACP_Norm_Red!A:A, ACP_Norm_Red!F:F, "")*$D$7) +
(XLOOKUP(L3, ACP_Norm_Red!A:A, ACP_Norm_Red!G:G, "")*$D$8) +
(XLOOKUP(L3, ACP_Norm_Red!A:A, ACP_Norm_Red!H:H, "")*$D$9)</f>
        <v>1.13605724</v>
      </c>
      <c r="R3" s="3" t="s">
        <v>129</v>
      </c>
      <c r="S3" s="3" t="s">
        <v>83</v>
      </c>
    </row>
    <row r="4">
      <c r="A4" s="17" t="s">
        <v>5</v>
      </c>
      <c r="B4" s="12">
        <v>-0.48613</v>
      </c>
      <c r="C4" s="12">
        <v>0.128786</v>
      </c>
      <c r="D4" s="12">
        <v>-0.03111</v>
      </c>
      <c r="E4" s="12">
        <v>-0.06877</v>
      </c>
      <c r="F4" s="12">
        <v>-0.48147</v>
      </c>
      <c r="G4" s="12">
        <v>0.381398</v>
      </c>
      <c r="H4" s="12">
        <v>-0.60342</v>
      </c>
      <c r="L4" s="15" t="str">
        <f>'Récap'!A18</f>
        <v>950ed53de307960251af3e387e595945da87494d2d2edf58b103f58f4ccfef78</v>
      </c>
      <c r="M4" s="3">
        <f t="array" ref="M4">(XLOOKUP(L4, ACP_Norm_Red!A:A, ACP_Norm_Red!B:B, "")*$B$3) + 
(XLOOKUP(L4, ACP_Norm_Red!A:A, ACP_Norm_Red!C:C, "")*$B$4) + 
(XLOOKUP(L4, ACP_Norm_Red!A:A, ACP_Norm_Red!D:D, "")*$B$5) +
(XLOOKUP(L4, ACP_Norm_Red!A:A, ACP_Norm_Red!E:E, "")*$B$6) +
(XLOOKUP(L4, ACP_Norm_Red!A:A, ACP_Norm_Red!F:F, "")*$B$7) +
(XLOOKUP(L4, ACP_Norm_Red!A:A, ACP_Norm_Red!G:G, "")*$B$8) +
(XLOOKUP(L4, ACP_Norm_Red!A:A, ACP_Norm_Red!H:H, "")*$B$9)</f>
        <v>2.642158982</v>
      </c>
      <c r="N4" s="3">
        <f t="array" ref="N4">(XLOOKUP(L4, ACP_Norm_Red!A:A, ACP_Norm_Red!B:B, "")*$C$3) + 
(XLOOKUP(L4, ACP_Norm_Red!A:A, ACP_Norm_Red!C:C, "")*$C$4) + 
(XLOOKUP(L4, ACP_Norm_Red!A:A, ACP_Norm_Red!D:D, "")*$C$5) +
(XLOOKUP(L4, ACP_Norm_Red!A:A, ACP_Norm_Red!E:E, "")*$C$6) +
(XLOOKUP(L4, ACP_Norm_Red!A:A, ACP_Norm_Red!F:F, "")*$C$7) +
(XLOOKUP(L4, ACP_Norm_Red!A:A, ACP_Norm_Red!G:G, "")*$C$8) +
(XLOOKUP(L4, ACP_Norm_Red!A:A, ACP_Norm_Red!H:H, "")*$C$9)</f>
        <v>1.351728266</v>
      </c>
      <c r="O4" s="3">
        <f t="array" ref="O4">(XLOOKUP(L4, ACP_Norm_Red!A:A, ACP_Norm_Red!B:B, "")*$D$3) + 
(XLOOKUP(L4, ACP_Norm_Red!A:A, ACP_Norm_Red!C:C, "")*$D$4) + 
(XLOOKUP(L4, ACP_Norm_Red!A:A, ACP_Norm_Red!D:D, "")*$D$5) +
(XLOOKUP(L4, ACP_Norm_Red!A:A, ACP_Norm_Red!E:E, "")*$D$6) +
(XLOOKUP(L4, ACP_Norm_Red!A:A, ACP_Norm_Red!F:F, "")*$D$7) +
(XLOOKUP(L4, ACP_Norm_Red!A:A, ACP_Norm_Red!G:G, "")*$D$8) +
(XLOOKUP(L4, ACP_Norm_Red!A:A, ACP_Norm_Red!H:H, "")*$D$9)</f>
        <v>0.8633327786</v>
      </c>
      <c r="R4" s="3" t="s">
        <v>48</v>
      </c>
      <c r="S4" s="3" t="s">
        <v>95</v>
      </c>
    </row>
    <row r="5">
      <c r="A5" s="17" t="s">
        <v>6</v>
      </c>
      <c r="B5" s="12">
        <v>-0.0202</v>
      </c>
      <c r="C5" s="12">
        <v>0.1078</v>
      </c>
      <c r="D5" s="12">
        <v>-0.90256</v>
      </c>
      <c r="E5" s="12">
        <v>-0.39937</v>
      </c>
      <c r="F5" s="12">
        <v>0.112154</v>
      </c>
      <c r="G5" s="12">
        <v>-0.01402</v>
      </c>
      <c r="H5" s="12">
        <v>0.032985</v>
      </c>
      <c r="L5" s="15" t="str">
        <f>'Récap'!A106</f>
        <v>78cb6709ef3e4aa9ec5148bce49e841e9a6257b64dff512fdffde18f1e1fcd14</v>
      </c>
      <c r="M5" s="3">
        <f t="array" ref="M5">(XLOOKUP(L5, ACP_Norm_Red!A:A, ACP_Norm_Red!B:B, "")*$B$3) + 
(XLOOKUP(L5, ACP_Norm_Red!A:A, ACP_Norm_Red!C:C, "")*$B$4) + 
(XLOOKUP(L5, ACP_Norm_Red!A:A, ACP_Norm_Red!D:D, "")*$B$5) +
(XLOOKUP(L5, ACP_Norm_Red!A:A, ACP_Norm_Red!E:E, "")*$B$6) +
(XLOOKUP(L5, ACP_Norm_Red!A:A, ACP_Norm_Red!F:F, "")*$B$7) +
(XLOOKUP(L5, ACP_Norm_Red!A:A, ACP_Norm_Red!G:G, "")*$B$8) +
(XLOOKUP(L5, ACP_Norm_Red!A:A, ACP_Norm_Red!H:H, "")*$B$9)</f>
        <v>-2.353647564</v>
      </c>
      <c r="N5" s="3">
        <f t="array" ref="N5">(XLOOKUP(L5, ACP_Norm_Red!A:A, ACP_Norm_Red!B:B, "")*$C$3) + 
(XLOOKUP(L5, ACP_Norm_Red!A:A, ACP_Norm_Red!C:C, "")*$C$4) + 
(XLOOKUP(L5, ACP_Norm_Red!A:A, ACP_Norm_Red!D:D, "")*$C$5) +
(XLOOKUP(L5, ACP_Norm_Red!A:A, ACP_Norm_Red!E:E, "")*$C$6) +
(XLOOKUP(L5, ACP_Norm_Red!A:A, ACP_Norm_Red!F:F, "")*$C$7) +
(XLOOKUP(L5, ACP_Norm_Red!A:A, ACP_Norm_Red!G:G, "")*$C$8) +
(XLOOKUP(L5, ACP_Norm_Red!A:A, ACP_Norm_Red!H:H, "")*$C$9)</f>
        <v>-0.6783523895</v>
      </c>
      <c r="O5" s="3">
        <f t="array" ref="O5">(XLOOKUP(L5, ACP_Norm_Red!A:A, ACP_Norm_Red!B:B, "")*$D$3) + 
(XLOOKUP(L5, ACP_Norm_Red!A:A, ACP_Norm_Red!C:C, "")*$D$4) + 
(XLOOKUP(L5, ACP_Norm_Red!A:A, ACP_Norm_Red!D:D, "")*$D$5) +
(XLOOKUP(L5, ACP_Norm_Red!A:A, ACP_Norm_Red!E:E, "")*$D$6) +
(XLOOKUP(L5, ACP_Norm_Red!A:A, ACP_Norm_Red!F:F, "")*$D$7) +
(XLOOKUP(L5, ACP_Norm_Red!A:A, ACP_Norm_Red!G:G, "")*$D$8) +
(XLOOKUP(L5, ACP_Norm_Red!A:A, ACP_Norm_Red!H:H, "")*$D$9)</f>
        <v>-0.1210021111</v>
      </c>
      <c r="R5" s="3" t="s">
        <v>116</v>
      </c>
      <c r="S5" s="3" t="s">
        <v>89</v>
      </c>
    </row>
    <row r="6">
      <c r="A6" s="17" t="s">
        <v>7</v>
      </c>
      <c r="B6" s="12">
        <v>0.143384</v>
      </c>
      <c r="C6" s="12">
        <v>0.723575</v>
      </c>
      <c r="D6" s="12">
        <v>-0.20655</v>
      </c>
      <c r="E6" s="12">
        <v>0.637926</v>
      </c>
      <c r="F6" s="12">
        <v>-0.06648</v>
      </c>
      <c r="G6" s="12">
        <v>-0.04288</v>
      </c>
      <c r="H6" s="12">
        <v>0.002808</v>
      </c>
      <c r="L6" s="15" t="str">
        <f>'Récap'!A79</f>
        <v>de14d69ecb05cea275dcf6a7cb707626315f3e81931958d7d7b15131368cf4d6</v>
      </c>
      <c r="M6" s="3">
        <f t="array" ref="M6">(XLOOKUP(L6, ACP_Norm_Red!A:A, ACP_Norm_Red!B:B, "")*$B$3) + 
(XLOOKUP(L6, ACP_Norm_Red!A:A, ACP_Norm_Red!C:C, "")*$B$4) + 
(XLOOKUP(L6, ACP_Norm_Red!A:A, ACP_Norm_Red!D:D, "")*$B$5) +
(XLOOKUP(L6, ACP_Norm_Red!A:A, ACP_Norm_Red!E:E, "")*$B$6) +
(XLOOKUP(L6, ACP_Norm_Red!A:A, ACP_Norm_Red!F:F, "")*$B$7) +
(XLOOKUP(L6, ACP_Norm_Red!A:A, ACP_Norm_Red!G:G, "")*$B$8) +
(XLOOKUP(L6, ACP_Norm_Red!A:A, ACP_Norm_Red!H:H, "")*$B$9)</f>
        <v>1.773320805</v>
      </c>
      <c r="N6" s="3">
        <f t="array" ref="N6">(XLOOKUP(L6, ACP_Norm_Red!A:A, ACP_Norm_Red!B:B, "")*$C$3) + 
(XLOOKUP(L6, ACP_Norm_Red!A:A, ACP_Norm_Red!C:C, "")*$C$4) + 
(XLOOKUP(L6, ACP_Norm_Red!A:A, ACP_Norm_Red!D:D, "")*$C$5) +
(XLOOKUP(L6, ACP_Norm_Red!A:A, ACP_Norm_Red!E:E, "")*$C$6) +
(XLOOKUP(L6, ACP_Norm_Red!A:A, ACP_Norm_Red!F:F, "")*$C$7) +
(XLOOKUP(L6, ACP_Norm_Red!A:A, ACP_Norm_Red!G:G, "")*$C$8) +
(XLOOKUP(L6, ACP_Norm_Red!A:A, ACP_Norm_Red!H:H, "")*$C$9)</f>
        <v>1.111927429</v>
      </c>
      <c r="O6" s="3">
        <f t="array" ref="O6">(XLOOKUP(L6, ACP_Norm_Red!A:A, ACP_Norm_Red!B:B, "")*$D$3) + 
(XLOOKUP(L6, ACP_Norm_Red!A:A, ACP_Norm_Red!C:C, "")*$D$4) + 
(XLOOKUP(L6, ACP_Norm_Red!A:A, ACP_Norm_Red!D:D, "")*$D$5) +
(XLOOKUP(L6, ACP_Norm_Red!A:A, ACP_Norm_Red!E:E, "")*$D$6) +
(XLOOKUP(L6, ACP_Norm_Red!A:A, ACP_Norm_Red!F:F, "")*$D$7) +
(XLOOKUP(L6, ACP_Norm_Red!A:A, ACP_Norm_Red!G:G, "")*$D$8) +
(XLOOKUP(L6, ACP_Norm_Red!A:A, ACP_Norm_Red!H:H, "")*$D$9)</f>
        <v>0.5468017474</v>
      </c>
      <c r="R6" s="3" t="s">
        <v>44</v>
      </c>
      <c r="S6" s="3" t="s">
        <v>84</v>
      </c>
    </row>
    <row r="7">
      <c r="A7" s="17" t="s">
        <v>8</v>
      </c>
      <c r="B7" s="12">
        <v>0.493065</v>
      </c>
      <c r="C7" s="12">
        <v>-0.10441</v>
      </c>
      <c r="D7" s="12">
        <v>-0.05906</v>
      </c>
      <c r="E7" s="12">
        <v>0.0263</v>
      </c>
      <c r="F7" s="12">
        <v>-0.15526</v>
      </c>
      <c r="G7" s="12">
        <v>0.817758</v>
      </c>
      <c r="H7" s="12">
        <v>0.221293</v>
      </c>
      <c r="L7" s="15" t="str">
        <f>'Récap'!A42</f>
        <v>d24b87329bb09b449a89676a4e96858c289cdfad521c03fb9ce166a83aceb603</v>
      </c>
      <c r="M7" s="3">
        <f t="array" ref="M7">(XLOOKUP(L7, ACP_Norm_Red!A:A, ACP_Norm_Red!B:B, "")*$B$3) + 
(XLOOKUP(L7, ACP_Norm_Red!A:A, ACP_Norm_Red!C:C, "")*$B$4) + 
(XLOOKUP(L7, ACP_Norm_Red!A:A, ACP_Norm_Red!D:D, "")*$B$5) +
(XLOOKUP(L7, ACP_Norm_Red!A:A, ACP_Norm_Red!E:E, "")*$B$6) +
(XLOOKUP(L7, ACP_Norm_Red!A:A, ACP_Norm_Red!F:F, "")*$B$7) +
(XLOOKUP(L7, ACP_Norm_Red!A:A, ACP_Norm_Red!G:G, "")*$B$8) +
(XLOOKUP(L7, ACP_Norm_Red!A:A, ACP_Norm_Red!H:H, "")*$B$9)</f>
        <v>-0.6259506825</v>
      </c>
      <c r="N7" s="3">
        <f t="array" ref="N7">(XLOOKUP(L7, ACP_Norm_Red!A:A, ACP_Norm_Red!B:B, "")*$C$3) + 
(XLOOKUP(L7, ACP_Norm_Red!A:A, ACP_Norm_Red!C:C, "")*$C$4) + 
(XLOOKUP(L7, ACP_Norm_Red!A:A, ACP_Norm_Red!D:D, "")*$C$5) +
(XLOOKUP(L7, ACP_Norm_Red!A:A, ACP_Norm_Red!E:E, "")*$C$6) +
(XLOOKUP(L7, ACP_Norm_Red!A:A, ACP_Norm_Red!F:F, "")*$C$7) +
(XLOOKUP(L7, ACP_Norm_Red!A:A, ACP_Norm_Red!G:G, "")*$C$8) +
(XLOOKUP(L7, ACP_Norm_Red!A:A, ACP_Norm_Red!H:H, "")*$C$9)</f>
        <v>0.9312040316</v>
      </c>
      <c r="O7" s="3">
        <f t="array" ref="O7">(XLOOKUP(L7, ACP_Norm_Red!A:A, ACP_Norm_Red!B:B, "")*$D$3) + 
(XLOOKUP(L7, ACP_Norm_Red!A:A, ACP_Norm_Red!C:C, "")*$D$4) + 
(XLOOKUP(L7, ACP_Norm_Red!A:A, ACP_Norm_Red!D:D, "")*$D$5) +
(XLOOKUP(L7, ACP_Norm_Red!A:A, ACP_Norm_Red!E:E, "")*$D$6) +
(XLOOKUP(L7, ACP_Norm_Red!A:A, ACP_Norm_Red!F:F, "")*$D$7) +
(XLOOKUP(L7, ACP_Norm_Red!A:A, ACP_Norm_Red!G:G, "")*$D$8) +
(XLOOKUP(L7, ACP_Norm_Red!A:A, ACP_Norm_Red!H:H, "")*$D$9)</f>
        <v>1.231365328</v>
      </c>
    </row>
    <row r="8">
      <c r="A8" s="17" t="s">
        <v>9</v>
      </c>
      <c r="B8" s="12">
        <v>0.194252</v>
      </c>
      <c r="C8" s="12">
        <v>0.639517</v>
      </c>
      <c r="D8" s="12">
        <v>0.362654</v>
      </c>
      <c r="E8" s="12">
        <v>-0.64852</v>
      </c>
      <c r="F8" s="12">
        <v>0.024116</v>
      </c>
      <c r="G8" s="12">
        <v>0.01011</v>
      </c>
      <c r="H8" s="12">
        <v>0.022354</v>
      </c>
      <c r="L8" s="15" t="str">
        <f>'Récap'!A101</f>
        <v>86d73054aa9c80dbfbfce326489454f67087052ce0720f75ec87b849d851ce2b</v>
      </c>
      <c r="M8" s="3">
        <f t="array" ref="M8">(XLOOKUP(L8, ACP_Norm_Red!A:A, ACP_Norm_Red!B:B, "")*$B$3) + 
(XLOOKUP(L8, ACP_Norm_Red!A:A, ACP_Norm_Red!C:C, "")*$B$4) + 
(XLOOKUP(L8, ACP_Norm_Red!A:A, ACP_Norm_Red!D:D, "")*$B$5) +
(XLOOKUP(L8, ACP_Norm_Red!A:A, ACP_Norm_Red!E:E, "")*$B$6) +
(XLOOKUP(L8, ACP_Norm_Red!A:A, ACP_Norm_Red!F:F, "")*$B$7) +
(XLOOKUP(L8, ACP_Norm_Red!A:A, ACP_Norm_Red!G:G, "")*$B$8) +
(XLOOKUP(L8, ACP_Norm_Red!A:A, ACP_Norm_Red!H:H, "")*$B$9)</f>
        <v>-1.330569212</v>
      </c>
      <c r="N8" s="3">
        <f t="array" ref="N8">(XLOOKUP(L8, ACP_Norm_Red!A:A, ACP_Norm_Red!B:B, "")*$C$3) + 
(XLOOKUP(L8, ACP_Norm_Red!A:A, ACP_Norm_Red!C:C, "")*$C$4) + 
(XLOOKUP(L8, ACP_Norm_Red!A:A, ACP_Norm_Red!D:D, "")*$C$5) +
(XLOOKUP(L8, ACP_Norm_Red!A:A, ACP_Norm_Red!E:E, "")*$C$6) +
(XLOOKUP(L8, ACP_Norm_Red!A:A, ACP_Norm_Red!F:F, "")*$C$7) +
(XLOOKUP(L8, ACP_Norm_Red!A:A, ACP_Norm_Red!G:G, "")*$C$8) +
(XLOOKUP(L8, ACP_Norm_Red!A:A, ACP_Norm_Red!H:H, "")*$C$9)</f>
        <v>0.5406999367</v>
      </c>
      <c r="O8" s="3">
        <f t="array" ref="O8">(XLOOKUP(L8, ACP_Norm_Red!A:A, ACP_Norm_Red!B:B, "")*$D$3) + 
(XLOOKUP(L8, ACP_Norm_Red!A:A, ACP_Norm_Red!C:C, "")*$D$4) + 
(XLOOKUP(L8, ACP_Norm_Red!A:A, ACP_Norm_Red!D:D, "")*$D$5) +
(XLOOKUP(L8, ACP_Norm_Red!A:A, ACP_Norm_Red!E:E, "")*$D$6) +
(XLOOKUP(L8, ACP_Norm_Red!A:A, ACP_Norm_Red!F:F, "")*$D$7) +
(XLOOKUP(L8, ACP_Norm_Red!A:A, ACP_Norm_Red!G:G, "")*$D$8) +
(XLOOKUP(L8, ACP_Norm_Red!A:A, ACP_Norm_Red!H:H, "")*$D$9)</f>
        <v>0.6534594497</v>
      </c>
    </row>
    <row r="9">
      <c r="A9" s="17" t="s">
        <v>10</v>
      </c>
      <c r="B9" s="12">
        <v>0.466661</v>
      </c>
      <c r="C9" s="12">
        <v>-0.13937</v>
      </c>
      <c r="D9" s="12">
        <v>-0.0808</v>
      </c>
      <c r="E9" s="12">
        <v>-0.07962</v>
      </c>
      <c r="F9" s="12">
        <v>-0.75034</v>
      </c>
      <c r="G9" s="12">
        <v>-0.42758</v>
      </c>
      <c r="H9" s="12">
        <v>-0.06402</v>
      </c>
      <c r="L9" s="15" t="str">
        <f>'Récap'!A44</f>
        <v>9181e670a018653889d5263448f199379588274b90c51348445093423b56396b</v>
      </c>
      <c r="M9" s="3">
        <f t="array" ref="M9">(XLOOKUP(L9, ACP_Norm_Red!A:A, ACP_Norm_Red!B:B, "")*$B$3) + 
(XLOOKUP(L9, ACP_Norm_Red!A:A, ACP_Norm_Red!C:C, "")*$B$4) + 
(XLOOKUP(L9, ACP_Norm_Red!A:A, ACP_Norm_Red!D:D, "")*$B$5) +
(XLOOKUP(L9, ACP_Norm_Red!A:A, ACP_Norm_Red!E:E, "")*$B$6) +
(XLOOKUP(L9, ACP_Norm_Red!A:A, ACP_Norm_Red!F:F, "")*$B$7) +
(XLOOKUP(L9, ACP_Norm_Red!A:A, ACP_Norm_Red!G:G, "")*$B$8) +
(XLOOKUP(L9, ACP_Norm_Red!A:A, ACP_Norm_Red!H:H, "")*$B$9)</f>
        <v>0.6032551273</v>
      </c>
      <c r="N9" s="3">
        <f t="array" ref="N9">(XLOOKUP(L9, ACP_Norm_Red!A:A, ACP_Norm_Red!B:B, "")*$C$3) + 
(XLOOKUP(L9, ACP_Norm_Red!A:A, ACP_Norm_Red!C:C, "")*$C$4) + 
(XLOOKUP(L9, ACP_Norm_Red!A:A, ACP_Norm_Red!D:D, "")*$C$5) +
(XLOOKUP(L9, ACP_Norm_Red!A:A, ACP_Norm_Red!E:E, "")*$C$6) +
(XLOOKUP(L9, ACP_Norm_Red!A:A, ACP_Norm_Red!F:F, "")*$C$7) +
(XLOOKUP(L9, ACP_Norm_Red!A:A, ACP_Norm_Red!G:G, "")*$C$8) +
(XLOOKUP(L9, ACP_Norm_Red!A:A, ACP_Norm_Red!H:H, "")*$C$9)</f>
        <v>-1.21907323</v>
      </c>
      <c r="O9" s="3">
        <f t="array" ref="O9">(XLOOKUP(L9, ACP_Norm_Red!A:A, ACP_Norm_Red!B:B, "")*$D$3) + 
(XLOOKUP(L9, ACP_Norm_Red!A:A, ACP_Norm_Red!C:C, "")*$D$4) + 
(XLOOKUP(L9, ACP_Norm_Red!A:A, ACP_Norm_Red!D:D, "")*$D$5) +
(XLOOKUP(L9, ACP_Norm_Red!A:A, ACP_Norm_Red!E:E, "")*$D$6) +
(XLOOKUP(L9, ACP_Norm_Red!A:A, ACP_Norm_Red!F:F, "")*$D$7) +
(XLOOKUP(L9, ACP_Norm_Red!A:A, ACP_Norm_Red!G:G, "")*$D$8) +
(XLOOKUP(L9, ACP_Norm_Red!A:A, ACP_Norm_Red!H:H, "")*$D$9)</f>
        <v>-1.696024147</v>
      </c>
    </row>
    <row r="10">
      <c r="L10" s="15" t="str">
        <f>'Récap'!A64</f>
        <v>d87811d4a1e9ba86c382fda19de6f7d1ad04b42f8c0dceeb81cd7cafc1008ed8</v>
      </c>
      <c r="M10" s="3">
        <f t="array" ref="M10">(XLOOKUP(L10, ACP_Norm_Red!A:A, ACP_Norm_Red!B:B, "")*$B$3) + 
(XLOOKUP(L10, ACP_Norm_Red!A:A, ACP_Norm_Red!C:C, "")*$B$4) + 
(XLOOKUP(L10, ACP_Norm_Red!A:A, ACP_Norm_Red!D:D, "")*$B$5) +
(XLOOKUP(L10, ACP_Norm_Red!A:A, ACP_Norm_Red!E:E, "")*$B$6) +
(XLOOKUP(L10, ACP_Norm_Red!A:A, ACP_Norm_Red!F:F, "")*$B$7) +
(XLOOKUP(L10, ACP_Norm_Red!A:A, ACP_Norm_Red!G:G, "")*$B$8) +
(XLOOKUP(L10, ACP_Norm_Red!A:A, ACP_Norm_Red!H:H, "")*$B$9)</f>
        <v>0.4827550425</v>
      </c>
      <c r="N10" s="3">
        <f t="array" ref="N10">(XLOOKUP(L10, ACP_Norm_Red!A:A, ACP_Norm_Red!B:B, "")*$C$3) + 
(XLOOKUP(L10, ACP_Norm_Red!A:A, ACP_Norm_Red!C:C, "")*$C$4) + 
(XLOOKUP(L10, ACP_Norm_Red!A:A, ACP_Norm_Red!D:D, "")*$C$5) +
(XLOOKUP(L10, ACP_Norm_Red!A:A, ACP_Norm_Red!E:E, "")*$C$6) +
(XLOOKUP(L10, ACP_Norm_Red!A:A, ACP_Norm_Red!F:F, "")*$C$7) +
(XLOOKUP(L10, ACP_Norm_Red!A:A, ACP_Norm_Red!G:G, "")*$C$8) +
(XLOOKUP(L10, ACP_Norm_Red!A:A, ACP_Norm_Red!H:H, "")*$C$9)</f>
        <v>0.6453170204</v>
      </c>
      <c r="O10" s="3">
        <f t="array" ref="O10">(XLOOKUP(L10, ACP_Norm_Red!A:A, ACP_Norm_Red!B:B, "")*$D$3) + 
(XLOOKUP(L10, ACP_Norm_Red!A:A, ACP_Norm_Red!C:C, "")*$D$4) + 
(XLOOKUP(L10, ACP_Norm_Red!A:A, ACP_Norm_Red!D:D, "")*$D$5) +
(XLOOKUP(L10, ACP_Norm_Red!A:A, ACP_Norm_Red!E:E, "")*$D$6) +
(XLOOKUP(L10, ACP_Norm_Red!A:A, ACP_Norm_Red!F:F, "")*$D$7) +
(XLOOKUP(L10, ACP_Norm_Red!A:A, ACP_Norm_Red!G:G, "")*$D$8) +
(XLOOKUP(L10, ACP_Norm_Red!A:A, ACP_Norm_Red!H:H, "")*$D$9)</f>
        <v>-1.210050261</v>
      </c>
      <c r="R10" s="2" t="s">
        <v>141</v>
      </c>
      <c r="S10" s="2" t="s">
        <v>142</v>
      </c>
    </row>
    <row r="11">
      <c r="L11" s="15" t="str">
        <f>'Récap'!A102</f>
        <v>8535ef1089f557f019e2fa787114fa1819dadf2106ea8f0b82f86e57f914ea2d</v>
      </c>
      <c r="M11" s="3">
        <f t="array" ref="M11">(XLOOKUP(L11, ACP_Norm_Red!A:A, ACP_Norm_Red!B:B, "")*$B$3) + 
(XLOOKUP(L11, ACP_Norm_Red!A:A, ACP_Norm_Red!C:C, "")*$B$4) + 
(XLOOKUP(L11, ACP_Norm_Red!A:A, ACP_Norm_Red!D:D, "")*$B$5) +
(XLOOKUP(L11, ACP_Norm_Red!A:A, ACP_Norm_Red!E:E, "")*$B$6) +
(XLOOKUP(L11, ACP_Norm_Red!A:A, ACP_Norm_Red!F:F, "")*$B$7) +
(XLOOKUP(L11, ACP_Norm_Red!A:A, ACP_Norm_Red!G:G, "")*$B$8) +
(XLOOKUP(L11, ACP_Norm_Red!A:A, ACP_Norm_Red!H:H, "")*$B$9)</f>
        <v>-0.9479004318</v>
      </c>
      <c r="N11" s="3">
        <f t="array" ref="N11">(XLOOKUP(L11, ACP_Norm_Red!A:A, ACP_Norm_Red!B:B, "")*$C$3) + 
(XLOOKUP(L11, ACP_Norm_Red!A:A, ACP_Norm_Red!C:C, "")*$C$4) + 
(XLOOKUP(L11, ACP_Norm_Red!A:A, ACP_Norm_Red!D:D, "")*$C$5) +
(XLOOKUP(L11, ACP_Norm_Red!A:A, ACP_Norm_Red!E:E, "")*$C$6) +
(XLOOKUP(L11, ACP_Norm_Red!A:A, ACP_Norm_Red!F:F, "")*$C$7) +
(XLOOKUP(L11, ACP_Norm_Red!A:A, ACP_Norm_Red!G:G, "")*$C$8) +
(XLOOKUP(L11, ACP_Norm_Red!A:A, ACP_Norm_Red!H:H, "")*$C$9)</f>
        <v>0.285883156</v>
      </c>
      <c r="O11" s="3">
        <f t="array" ref="O11">(XLOOKUP(L11, ACP_Norm_Red!A:A, ACP_Norm_Red!B:B, "")*$D$3) + 
(XLOOKUP(L11, ACP_Norm_Red!A:A, ACP_Norm_Red!C:C, "")*$D$4) + 
(XLOOKUP(L11, ACP_Norm_Red!A:A, ACP_Norm_Red!D:D, "")*$D$5) +
(XLOOKUP(L11, ACP_Norm_Red!A:A, ACP_Norm_Red!E:E, "")*$D$6) +
(XLOOKUP(L11, ACP_Norm_Red!A:A, ACP_Norm_Red!F:F, "")*$D$7) +
(XLOOKUP(L11, ACP_Norm_Red!A:A, ACP_Norm_Red!G:G, "")*$D$8) +
(XLOOKUP(L11, ACP_Norm_Red!A:A, ACP_Norm_Red!H:H, "")*$D$9)</f>
        <v>0.3566556009</v>
      </c>
      <c r="R11" s="3" t="s">
        <v>108</v>
      </c>
      <c r="S11" s="3" t="s">
        <v>92</v>
      </c>
    </row>
    <row r="12">
      <c r="A12" s="10" t="s">
        <v>143</v>
      </c>
      <c r="B12" s="17" t="s">
        <v>18</v>
      </c>
      <c r="C12" s="17" t="s">
        <v>19</v>
      </c>
      <c r="D12" s="17" t="s">
        <v>20</v>
      </c>
      <c r="E12" s="17" t="s">
        <v>21</v>
      </c>
      <c r="F12" s="17" t="s">
        <v>22</v>
      </c>
      <c r="G12" s="17" t="s">
        <v>23</v>
      </c>
      <c r="H12" s="17" t="s">
        <v>24</v>
      </c>
      <c r="L12" s="15" t="str">
        <f>'Récap'!A33</f>
        <v>fa7805c1d46ef49851de43750a665a993eef750b560159967106d3b96821759c</v>
      </c>
      <c r="M12" s="3">
        <f t="array" ref="M12">(XLOOKUP(L12, ACP_Norm_Red!A:A, ACP_Norm_Red!B:B, "")*$B$3) + 
(XLOOKUP(L12, ACP_Norm_Red!A:A, ACP_Norm_Red!C:C, "")*$B$4) + 
(XLOOKUP(L12, ACP_Norm_Red!A:A, ACP_Norm_Red!D:D, "")*$B$5) +
(XLOOKUP(L12, ACP_Norm_Red!A:A, ACP_Norm_Red!E:E, "")*$B$6) +
(XLOOKUP(L12, ACP_Norm_Red!A:A, ACP_Norm_Red!F:F, "")*$B$7) +
(XLOOKUP(L12, ACP_Norm_Red!A:A, ACP_Norm_Red!G:G, "")*$B$8) +
(XLOOKUP(L12, ACP_Norm_Red!A:A, ACP_Norm_Red!H:H, "")*$B$9)</f>
        <v>-0.5761915149</v>
      </c>
      <c r="N12" s="3">
        <f t="array" ref="N12">(XLOOKUP(L12, ACP_Norm_Red!A:A, ACP_Norm_Red!B:B, "")*$C$3) + 
(XLOOKUP(L12, ACP_Norm_Red!A:A, ACP_Norm_Red!C:C, "")*$C$4) + 
(XLOOKUP(L12, ACP_Norm_Red!A:A, ACP_Norm_Red!D:D, "")*$C$5) +
(XLOOKUP(L12, ACP_Norm_Red!A:A, ACP_Norm_Red!E:E, "")*$C$6) +
(XLOOKUP(L12, ACP_Norm_Red!A:A, ACP_Norm_Red!F:F, "")*$C$7) +
(XLOOKUP(L12, ACP_Norm_Red!A:A, ACP_Norm_Red!G:G, "")*$C$8) +
(XLOOKUP(L12, ACP_Norm_Red!A:A, ACP_Norm_Red!H:H, "")*$C$9)</f>
        <v>-0.0172191806</v>
      </c>
      <c r="O12" s="3">
        <f t="array" ref="O12">(XLOOKUP(L12, ACP_Norm_Red!A:A, ACP_Norm_Red!B:B, "")*$D$3) + 
(XLOOKUP(L12, ACP_Norm_Red!A:A, ACP_Norm_Red!C:C, "")*$D$4) + 
(XLOOKUP(L12, ACP_Norm_Red!A:A, ACP_Norm_Red!D:D, "")*$D$5) +
(XLOOKUP(L12, ACP_Norm_Red!A:A, ACP_Norm_Red!E:E, "")*$D$6) +
(XLOOKUP(L12, ACP_Norm_Red!A:A, ACP_Norm_Red!F:F, "")*$D$7) +
(XLOOKUP(L12, ACP_Norm_Red!A:A, ACP_Norm_Red!G:G, "")*$D$8) +
(XLOOKUP(L12, ACP_Norm_Red!A:A, ACP_Norm_Red!H:H, "")*$D$9)</f>
        <v>-0.4285464603</v>
      </c>
      <c r="R12" s="3" t="s">
        <v>117</v>
      </c>
      <c r="S12" s="3" t="s">
        <v>71</v>
      </c>
    </row>
    <row r="13">
      <c r="A13" s="17" t="s">
        <v>4</v>
      </c>
      <c r="B13" s="12">
        <v>-0.97407</v>
      </c>
      <c r="C13" s="12">
        <v>0.115703</v>
      </c>
      <c r="D13" s="12">
        <v>0.016062</v>
      </c>
      <c r="E13" s="12">
        <v>-0.01582</v>
      </c>
      <c r="F13" s="12">
        <v>-0.17659</v>
      </c>
      <c r="G13" s="12">
        <v>0.006088</v>
      </c>
      <c r="H13" s="12">
        <v>0.077877</v>
      </c>
      <c r="L13" s="15" t="str">
        <f>'Récap'!A47</f>
        <v>c8d01afd1e4a742fb48896441f92f6f4f1c21f02b0059b58f21e1c6efb099eb2</v>
      </c>
      <c r="M13" s="3">
        <f t="array" ref="M13">(XLOOKUP(L13, ACP_Norm_Red!A:A, ACP_Norm_Red!B:B, "")*$B$3) + 
(XLOOKUP(L13, ACP_Norm_Red!A:A, ACP_Norm_Red!C:C, "")*$B$4) + 
(XLOOKUP(L13, ACP_Norm_Red!A:A, ACP_Norm_Red!D:D, "")*$B$5) +
(XLOOKUP(L13, ACP_Norm_Red!A:A, ACP_Norm_Red!E:E, "")*$B$6) +
(XLOOKUP(L13, ACP_Norm_Red!A:A, ACP_Norm_Red!F:F, "")*$B$7) +
(XLOOKUP(L13, ACP_Norm_Red!A:A, ACP_Norm_Red!G:G, "")*$B$8) +
(XLOOKUP(L13, ACP_Norm_Red!A:A, ACP_Norm_Red!H:H, "")*$B$9)</f>
        <v>-0.2864391716</v>
      </c>
      <c r="N13" s="3">
        <f t="array" ref="N13">(XLOOKUP(L13, ACP_Norm_Red!A:A, ACP_Norm_Red!B:B, "")*$C$3) + 
(XLOOKUP(L13, ACP_Norm_Red!A:A, ACP_Norm_Red!C:C, "")*$C$4) + 
(XLOOKUP(L13, ACP_Norm_Red!A:A, ACP_Norm_Red!D:D, "")*$C$5) +
(XLOOKUP(L13, ACP_Norm_Red!A:A, ACP_Norm_Red!E:E, "")*$C$6) +
(XLOOKUP(L13, ACP_Norm_Red!A:A, ACP_Norm_Red!F:F, "")*$C$7) +
(XLOOKUP(L13, ACP_Norm_Red!A:A, ACP_Norm_Red!G:G, "")*$C$8) +
(XLOOKUP(L13, ACP_Norm_Red!A:A, ACP_Norm_Red!H:H, "")*$C$9)</f>
        <v>0.7912127364</v>
      </c>
      <c r="O13" s="3">
        <f t="array" ref="O13">(XLOOKUP(L13, ACP_Norm_Red!A:A, ACP_Norm_Red!B:B, "")*$D$3) + 
(XLOOKUP(L13, ACP_Norm_Red!A:A, ACP_Norm_Red!C:C, "")*$D$4) + 
(XLOOKUP(L13, ACP_Norm_Red!A:A, ACP_Norm_Red!D:D, "")*$D$5) +
(XLOOKUP(L13, ACP_Norm_Red!A:A, ACP_Norm_Red!E:E, "")*$D$6) +
(XLOOKUP(L13, ACP_Norm_Red!A:A, ACP_Norm_Red!F:F, "")*$D$7) +
(XLOOKUP(L13, ACP_Norm_Red!A:A, ACP_Norm_Red!G:G, "")*$D$8) +
(XLOOKUP(L13, ACP_Norm_Red!A:A, ACP_Norm_Red!H:H, "")*$D$9)</f>
        <v>-1.691917545</v>
      </c>
      <c r="R13" s="3" t="s">
        <v>100</v>
      </c>
      <c r="S13" s="3" t="s">
        <v>43</v>
      </c>
    </row>
    <row r="14">
      <c r="A14" s="17" t="s">
        <v>5</v>
      </c>
      <c r="B14" s="12">
        <v>-0.95845</v>
      </c>
      <c r="C14" s="12">
        <v>0.157753</v>
      </c>
      <c r="D14" s="12">
        <v>-0.03352</v>
      </c>
      <c r="E14" s="12">
        <v>-0.03126</v>
      </c>
      <c r="F14" s="12">
        <v>-0.21028</v>
      </c>
      <c r="G14" s="12">
        <v>0.079869</v>
      </c>
      <c r="H14" s="12">
        <v>-0.06164</v>
      </c>
      <c r="L14" s="15" t="str">
        <f>'Récap'!A109</f>
        <v>155464e7a35faffd6b3b4f2e6b757098204e8a24221641b58ee8156acfd2e1fc</v>
      </c>
      <c r="M14" s="3">
        <f t="array" ref="M14">(XLOOKUP(L14, ACP_Norm_Red!A:A, ACP_Norm_Red!B:B, "")*$B$3) + 
(XLOOKUP(L14, ACP_Norm_Red!A:A, ACP_Norm_Red!C:C, "")*$B$4) + 
(XLOOKUP(L14, ACP_Norm_Red!A:A, ACP_Norm_Red!D:D, "")*$B$5) +
(XLOOKUP(L14, ACP_Norm_Red!A:A, ACP_Norm_Red!E:E, "")*$B$6) +
(XLOOKUP(L14, ACP_Norm_Red!A:A, ACP_Norm_Red!F:F, "")*$B$7) +
(XLOOKUP(L14, ACP_Norm_Red!A:A, ACP_Norm_Red!G:G, "")*$B$8) +
(XLOOKUP(L14, ACP_Norm_Red!A:A, ACP_Norm_Red!H:H, "")*$B$9)</f>
        <v>0.544760335</v>
      </c>
      <c r="N14" s="3">
        <f t="array" ref="N14">(XLOOKUP(L14, ACP_Norm_Red!A:A, ACP_Norm_Red!B:B, "")*$C$3) + 
(XLOOKUP(L14, ACP_Norm_Red!A:A, ACP_Norm_Red!C:C, "")*$C$4) + 
(XLOOKUP(L14, ACP_Norm_Red!A:A, ACP_Norm_Red!D:D, "")*$C$5) +
(XLOOKUP(L14, ACP_Norm_Red!A:A, ACP_Norm_Red!E:E, "")*$C$6) +
(XLOOKUP(L14, ACP_Norm_Red!A:A, ACP_Norm_Red!F:F, "")*$C$7) +
(XLOOKUP(L14, ACP_Norm_Red!A:A, ACP_Norm_Red!G:G, "")*$C$8) +
(XLOOKUP(L14, ACP_Norm_Red!A:A, ACP_Norm_Red!H:H, "")*$C$9)</f>
        <v>-1.413101478</v>
      </c>
      <c r="O14" s="3">
        <f t="array" ref="O14">(XLOOKUP(L14, ACP_Norm_Red!A:A, ACP_Norm_Red!B:B, "")*$D$3) + 
(XLOOKUP(L14, ACP_Norm_Red!A:A, ACP_Norm_Red!C:C, "")*$D$4) + 
(XLOOKUP(L14, ACP_Norm_Red!A:A, ACP_Norm_Red!D:D, "")*$D$5) +
(XLOOKUP(L14, ACP_Norm_Red!A:A, ACP_Norm_Red!E:E, "")*$D$6) +
(XLOOKUP(L14, ACP_Norm_Red!A:A, ACP_Norm_Red!F:F, "")*$D$7) +
(XLOOKUP(L14, ACP_Norm_Red!A:A, ACP_Norm_Red!G:G, "")*$D$8) +
(XLOOKUP(L14, ACP_Norm_Red!A:A, ACP_Norm_Red!H:H, "")*$D$9)</f>
        <v>0.0815235812</v>
      </c>
      <c r="R14" s="3" t="s">
        <v>62</v>
      </c>
      <c r="S14" s="3" t="s">
        <v>91</v>
      </c>
    </row>
    <row r="15">
      <c r="A15" s="17" t="s">
        <v>6</v>
      </c>
      <c r="B15" s="12">
        <v>-0.03983</v>
      </c>
      <c r="C15" s="12">
        <v>0.132047</v>
      </c>
      <c r="D15" s="12">
        <v>-0.97242</v>
      </c>
      <c r="E15" s="12">
        <v>-0.18152</v>
      </c>
      <c r="F15" s="12">
        <v>0.048983</v>
      </c>
      <c r="G15" s="12">
        <v>-0.00294</v>
      </c>
      <c r="H15" s="12">
        <v>0.003369</v>
      </c>
      <c r="L15" s="15" t="str">
        <f>'Récap'!A48</f>
        <v>d3f0d126711eb978e948a2cbeb9c2b2b0ffa79541fe717c41575d91f5e21aa61</v>
      </c>
      <c r="M15" s="3">
        <f t="array" ref="M15">(XLOOKUP(L15, ACP_Norm_Red!A:A, ACP_Norm_Red!B:B, "")*$B$3) + 
(XLOOKUP(L15, ACP_Norm_Red!A:A, ACP_Norm_Red!C:C, "")*$B$4) + 
(XLOOKUP(L15, ACP_Norm_Red!A:A, ACP_Norm_Red!D:D, "")*$B$5) +
(XLOOKUP(L15, ACP_Norm_Red!A:A, ACP_Norm_Red!E:E, "")*$B$6) +
(XLOOKUP(L15, ACP_Norm_Red!A:A, ACP_Norm_Red!F:F, "")*$B$7) +
(XLOOKUP(L15, ACP_Norm_Red!A:A, ACP_Norm_Red!G:G, "")*$B$8) +
(XLOOKUP(L15, ACP_Norm_Red!A:A, ACP_Norm_Red!H:H, "")*$B$9)</f>
        <v>2.565552502</v>
      </c>
      <c r="N15" s="3">
        <f t="array" ref="N15">(XLOOKUP(L15, ACP_Norm_Red!A:A, ACP_Norm_Red!B:B, "")*$C$3) + 
(XLOOKUP(L15, ACP_Norm_Red!A:A, ACP_Norm_Red!C:C, "")*$C$4) + 
(XLOOKUP(L15, ACP_Norm_Red!A:A, ACP_Norm_Red!D:D, "")*$C$5) +
(XLOOKUP(L15, ACP_Norm_Red!A:A, ACP_Norm_Red!E:E, "")*$C$6) +
(XLOOKUP(L15, ACP_Norm_Red!A:A, ACP_Norm_Red!F:F, "")*$C$7) +
(XLOOKUP(L15, ACP_Norm_Red!A:A, ACP_Norm_Red!G:G, "")*$C$8) +
(XLOOKUP(L15, ACP_Norm_Red!A:A, ACP_Norm_Red!H:H, "")*$C$9)</f>
        <v>0.2505664153</v>
      </c>
      <c r="O15" s="3">
        <f t="array" ref="O15">(XLOOKUP(L15, ACP_Norm_Red!A:A, ACP_Norm_Red!B:B, "")*$D$3) + 
(XLOOKUP(L15, ACP_Norm_Red!A:A, ACP_Norm_Red!C:C, "")*$D$4) + 
(XLOOKUP(L15, ACP_Norm_Red!A:A, ACP_Norm_Red!D:D, "")*$D$5) +
(XLOOKUP(L15, ACP_Norm_Red!A:A, ACP_Norm_Red!E:E, "")*$D$6) +
(XLOOKUP(L15, ACP_Norm_Red!A:A, ACP_Norm_Red!F:F, "")*$D$7) +
(XLOOKUP(L15, ACP_Norm_Red!A:A, ACP_Norm_Red!G:G, "")*$D$8) +
(XLOOKUP(L15, ACP_Norm_Red!A:A, ACP_Norm_Red!H:H, "")*$D$9)</f>
        <v>-0.7594436844</v>
      </c>
      <c r="R15" s="3" t="s">
        <v>130</v>
      </c>
      <c r="S15" s="3" t="s">
        <v>79</v>
      </c>
    </row>
    <row r="16">
      <c r="A16" s="17" t="s">
        <v>7</v>
      </c>
      <c r="B16" s="12">
        <v>0.282693</v>
      </c>
      <c r="C16" s="12">
        <v>0.88632</v>
      </c>
      <c r="D16" s="12">
        <v>-0.22254</v>
      </c>
      <c r="E16" s="12">
        <v>0.289955</v>
      </c>
      <c r="F16" s="12">
        <v>-0.02903</v>
      </c>
      <c r="G16" s="12">
        <v>-0.00898</v>
      </c>
      <c r="H16" s="12">
        <v>2.87E-4</v>
      </c>
      <c r="L16" s="15" t="str">
        <f>'Récap'!A68</f>
        <v>345dad5114b3cd453211fb2463b2677b927fb8bed5528f041e0451dfd0f2dca2</v>
      </c>
      <c r="M16" s="3">
        <f t="array" ref="M16">(XLOOKUP(L16, ACP_Norm_Red!A:A, ACP_Norm_Red!B:B, "")*$B$3) + 
(XLOOKUP(L16, ACP_Norm_Red!A:A, ACP_Norm_Red!C:C, "")*$B$4) + 
(XLOOKUP(L16, ACP_Norm_Red!A:A, ACP_Norm_Red!D:D, "")*$B$5) +
(XLOOKUP(L16, ACP_Norm_Red!A:A, ACP_Norm_Red!E:E, "")*$B$6) +
(XLOOKUP(L16, ACP_Norm_Red!A:A, ACP_Norm_Red!F:F, "")*$B$7) +
(XLOOKUP(L16, ACP_Norm_Red!A:A, ACP_Norm_Red!G:G, "")*$B$8) +
(XLOOKUP(L16, ACP_Norm_Red!A:A, ACP_Norm_Red!H:H, "")*$B$9)</f>
        <v>0.3813836719</v>
      </c>
      <c r="N16" s="3">
        <f t="array" ref="N16">(XLOOKUP(L16, ACP_Norm_Red!A:A, ACP_Norm_Red!B:B, "")*$C$3) + 
(XLOOKUP(L16, ACP_Norm_Red!A:A, ACP_Norm_Red!C:C, "")*$C$4) + 
(XLOOKUP(L16, ACP_Norm_Red!A:A, ACP_Norm_Red!D:D, "")*$C$5) +
(XLOOKUP(L16, ACP_Norm_Red!A:A, ACP_Norm_Red!E:E, "")*$C$6) +
(XLOOKUP(L16, ACP_Norm_Red!A:A, ACP_Norm_Red!F:F, "")*$C$7) +
(XLOOKUP(L16, ACP_Norm_Red!A:A, ACP_Norm_Red!G:G, "")*$C$8) +
(XLOOKUP(L16, ACP_Norm_Red!A:A, ACP_Norm_Red!H:H, "")*$C$9)</f>
        <v>0.6665403383</v>
      </c>
      <c r="O16" s="3">
        <f t="array" ref="O16">(XLOOKUP(L16, ACP_Norm_Red!A:A, ACP_Norm_Red!B:B, "")*$D$3) + 
(XLOOKUP(L16, ACP_Norm_Red!A:A, ACP_Norm_Red!C:C, "")*$D$4) + 
(XLOOKUP(L16, ACP_Norm_Red!A:A, ACP_Norm_Red!D:D, "")*$D$5) +
(XLOOKUP(L16, ACP_Norm_Red!A:A, ACP_Norm_Red!E:E, "")*$D$6) +
(XLOOKUP(L16, ACP_Norm_Red!A:A, ACP_Norm_Red!F:F, "")*$D$7) +
(XLOOKUP(L16, ACP_Norm_Red!A:A, ACP_Norm_Red!G:G, "")*$D$8) +
(XLOOKUP(L16, ACP_Norm_Red!A:A, ACP_Norm_Red!H:H, "")*$D$9)</f>
        <v>-1.35179711</v>
      </c>
    </row>
    <row r="17">
      <c r="A17" s="17" t="s">
        <v>8</v>
      </c>
      <c r="B17" s="12">
        <v>0.972119</v>
      </c>
      <c r="C17" s="12">
        <v>-0.1279</v>
      </c>
      <c r="D17" s="12">
        <v>-0.06363</v>
      </c>
      <c r="E17" s="12">
        <v>0.011954</v>
      </c>
      <c r="F17" s="12">
        <v>-0.06781</v>
      </c>
      <c r="G17" s="12">
        <v>0.171248</v>
      </c>
      <c r="H17" s="12">
        <v>0.022605</v>
      </c>
      <c r="L17" s="15" t="str">
        <f>'Récap'!A81</f>
        <v>db2e162c7c1734ed5a58abc1706b9efbbdadbd2ba5f77bea6911a1aabd5e0831</v>
      </c>
      <c r="M17" s="3">
        <f t="array" ref="M17">(XLOOKUP(L17, ACP_Norm_Red!A:A, ACP_Norm_Red!B:B, "")*$B$3) + 
(XLOOKUP(L17, ACP_Norm_Red!A:A, ACP_Norm_Red!C:C, "")*$B$4) + 
(XLOOKUP(L17, ACP_Norm_Red!A:A, ACP_Norm_Red!D:D, "")*$B$5) +
(XLOOKUP(L17, ACP_Norm_Red!A:A, ACP_Norm_Red!E:E, "")*$B$6) +
(XLOOKUP(L17, ACP_Norm_Red!A:A, ACP_Norm_Red!F:F, "")*$B$7) +
(XLOOKUP(L17, ACP_Norm_Red!A:A, ACP_Norm_Red!G:G, "")*$B$8) +
(XLOOKUP(L17, ACP_Norm_Red!A:A, ACP_Norm_Red!H:H, "")*$B$9)</f>
        <v>-2.600008625</v>
      </c>
      <c r="N17" s="3">
        <f t="array" ref="N17">(XLOOKUP(L17, ACP_Norm_Red!A:A, ACP_Norm_Red!B:B, "")*$C$3) + 
(XLOOKUP(L17, ACP_Norm_Red!A:A, ACP_Norm_Red!C:C, "")*$C$4) + 
(XLOOKUP(L17, ACP_Norm_Red!A:A, ACP_Norm_Red!D:D, "")*$C$5) +
(XLOOKUP(L17, ACP_Norm_Red!A:A, ACP_Norm_Red!E:E, "")*$C$6) +
(XLOOKUP(L17, ACP_Norm_Red!A:A, ACP_Norm_Red!F:F, "")*$C$7) +
(XLOOKUP(L17, ACP_Norm_Red!A:A, ACP_Norm_Red!G:G, "")*$C$8) +
(XLOOKUP(L17, ACP_Norm_Red!A:A, ACP_Norm_Red!H:H, "")*$C$9)</f>
        <v>2.229236949</v>
      </c>
      <c r="O17" s="3">
        <f t="array" ref="O17">(XLOOKUP(L17, ACP_Norm_Red!A:A, ACP_Norm_Red!B:B, "")*$D$3) + 
(XLOOKUP(L17, ACP_Norm_Red!A:A, ACP_Norm_Red!C:C, "")*$D$4) + 
(XLOOKUP(L17, ACP_Norm_Red!A:A, ACP_Norm_Red!D:D, "")*$D$5) +
(XLOOKUP(L17, ACP_Norm_Red!A:A, ACP_Norm_Red!E:E, "")*$D$6) +
(XLOOKUP(L17, ACP_Norm_Red!A:A, ACP_Norm_Red!F:F, "")*$D$7) +
(XLOOKUP(L17, ACP_Norm_Red!A:A, ACP_Norm_Red!G:G, "")*$D$8) +
(XLOOKUP(L17, ACP_Norm_Red!A:A, ACP_Norm_Red!H:H, "")*$D$9)</f>
        <v>-1.777881287</v>
      </c>
    </row>
    <row r="18">
      <c r="A18" s="17" t="s">
        <v>9</v>
      </c>
      <c r="B18" s="12">
        <v>0.382984</v>
      </c>
      <c r="C18" s="12">
        <v>0.783355</v>
      </c>
      <c r="D18" s="12">
        <v>0.390726</v>
      </c>
      <c r="E18" s="12">
        <v>-0.29477</v>
      </c>
      <c r="F18" s="12">
        <v>0.010533</v>
      </c>
      <c r="G18" s="12">
        <v>0.002117</v>
      </c>
      <c r="H18" s="12">
        <v>0.002283</v>
      </c>
      <c r="L18" s="15" t="str">
        <f>'Récap'!A57</f>
        <v>69ea8e8a316c3f982db0286a71ca33c251b858994e27bb848e628967df9d15f9</v>
      </c>
      <c r="M18" s="3">
        <f t="array" ref="M18">(XLOOKUP(L18, ACP_Norm_Red!A:A, ACP_Norm_Red!B:B, "")*$B$3) + 
(XLOOKUP(L18, ACP_Norm_Red!A:A, ACP_Norm_Red!C:C, "")*$B$4) + 
(XLOOKUP(L18, ACP_Norm_Red!A:A, ACP_Norm_Red!D:D, "")*$B$5) +
(XLOOKUP(L18, ACP_Norm_Red!A:A, ACP_Norm_Red!E:E, "")*$B$6) +
(XLOOKUP(L18, ACP_Norm_Red!A:A, ACP_Norm_Red!F:F, "")*$B$7) +
(XLOOKUP(L18, ACP_Norm_Red!A:A, ACP_Norm_Red!G:G, "")*$B$8) +
(XLOOKUP(L18, ACP_Norm_Red!A:A, ACP_Norm_Red!H:H, "")*$B$9)</f>
        <v>3.873411499</v>
      </c>
      <c r="N18" s="3">
        <f t="array" ref="N18">(XLOOKUP(L18, ACP_Norm_Red!A:A, ACP_Norm_Red!B:B, "")*$C$3) + 
(XLOOKUP(L18, ACP_Norm_Red!A:A, ACP_Norm_Red!C:C, "")*$C$4) + 
(XLOOKUP(L18, ACP_Norm_Red!A:A, ACP_Norm_Red!D:D, "")*$C$5) +
(XLOOKUP(L18, ACP_Norm_Red!A:A, ACP_Norm_Red!E:E, "")*$C$6) +
(XLOOKUP(L18, ACP_Norm_Red!A:A, ACP_Norm_Red!F:F, "")*$C$7) +
(XLOOKUP(L18, ACP_Norm_Red!A:A, ACP_Norm_Red!G:G, "")*$C$8) +
(XLOOKUP(L18, ACP_Norm_Red!A:A, ACP_Norm_Red!H:H, "")*$C$9)</f>
        <v>2.881792145</v>
      </c>
      <c r="O18" s="3">
        <f t="array" ref="O18">(XLOOKUP(L18, ACP_Norm_Red!A:A, ACP_Norm_Red!B:B, "")*$D$3) + 
(XLOOKUP(L18, ACP_Norm_Red!A:A, ACP_Norm_Red!C:C, "")*$D$4) + 
(XLOOKUP(L18, ACP_Norm_Red!A:A, ACP_Norm_Red!D:D, "")*$D$5) +
(XLOOKUP(L18, ACP_Norm_Red!A:A, ACP_Norm_Red!E:E, "")*$D$6) +
(XLOOKUP(L18, ACP_Norm_Red!A:A, ACP_Norm_Red!F:F, "")*$D$7) +
(XLOOKUP(L18, ACP_Norm_Red!A:A, ACP_Norm_Red!G:G, "")*$D$8) +
(XLOOKUP(L18, ACP_Norm_Red!A:A, ACP_Norm_Red!H:H, "")*$D$9)</f>
        <v>2.001326394</v>
      </c>
    </row>
    <row r="19">
      <c r="A19" s="17" t="s">
        <v>10</v>
      </c>
      <c r="B19" s="12">
        <v>0.920062</v>
      </c>
      <c r="C19" s="12">
        <v>-0.17072</v>
      </c>
      <c r="D19" s="12">
        <v>-0.08705</v>
      </c>
      <c r="E19" s="12">
        <v>-0.03619</v>
      </c>
      <c r="F19" s="12">
        <v>-0.32771</v>
      </c>
      <c r="G19" s="12">
        <v>-0.08954</v>
      </c>
      <c r="H19" s="12">
        <v>-0.00654</v>
      </c>
      <c r="L19" s="15" t="str">
        <f>'Récap'!A23</f>
        <v>7854ad4022596904b137ebbb044e0bbbd2f590b0dac7f5a46d9991f3c049d647</v>
      </c>
      <c r="M19" s="3">
        <f t="array" ref="M19">(XLOOKUP(L19, ACP_Norm_Red!A:A, ACP_Norm_Red!B:B, "")*$B$3) + 
(XLOOKUP(L19, ACP_Norm_Red!A:A, ACP_Norm_Red!C:C, "")*$B$4) + 
(XLOOKUP(L19, ACP_Norm_Red!A:A, ACP_Norm_Red!D:D, "")*$B$5) +
(XLOOKUP(L19, ACP_Norm_Red!A:A, ACP_Norm_Red!E:E, "")*$B$6) +
(XLOOKUP(L19, ACP_Norm_Red!A:A, ACP_Norm_Red!F:F, "")*$B$7) +
(XLOOKUP(L19, ACP_Norm_Red!A:A, ACP_Norm_Red!G:G, "")*$B$8) +
(XLOOKUP(L19, ACP_Norm_Red!A:A, ACP_Norm_Red!H:H, "")*$B$9)</f>
        <v>-3.294686397</v>
      </c>
      <c r="N19" s="3">
        <f t="array" ref="N19">(XLOOKUP(L19, ACP_Norm_Red!A:A, ACP_Norm_Red!B:B, "")*$C$3) + 
(XLOOKUP(L19, ACP_Norm_Red!A:A, ACP_Norm_Red!C:C, "")*$C$4) + 
(XLOOKUP(L19, ACP_Norm_Red!A:A, ACP_Norm_Red!D:D, "")*$C$5) +
(XLOOKUP(L19, ACP_Norm_Red!A:A, ACP_Norm_Red!E:E, "")*$C$6) +
(XLOOKUP(L19, ACP_Norm_Red!A:A, ACP_Norm_Red!F:F, "")*$C$7) +
(XLOOKUP(L19, ACP_Norm_Red!A:A, ACP_Norm_Red!G:G, "")*$C$8) +
(XLOOKUP(L19, ACP_Norm_Red!A:A, ACP_Norm_Red!H:H, "")*$C$9)</f>
        <v>1.730670959</v>
      </c>
      <c r="O19" s="3">
        <f t="array" ref="O19">(XLOOKUP(L19, ACP_Norm_Red!A:A, ACP_Norm_Red!B:B, "")*$D$3) + 
(XLOOKUP(L19, ACP_Norm_Red!A:A, ACP_Norm_Red!C:C, "")*$D$4) + 
(XLOOKUP(L19, ACP_Norm_Red!A:A, ACP_Norm_Red!D:D, "")*$D$5) +
(XLOOKUP(L19, ACP_Norm_Red!A:A, ACP_Norm_Red!E:E, "")*$D$6) +
(XLOOKUP(L19, ACP_Norm_Red!A:A, ACP_Norm_Red!F:F, "")*$D$7) +
(XLOOKUP(L19, ACP_Norm_Red!A:A, ACP_Norm_Red!G:G, "")*$D$8) +
(XLOOKUP(L19, ACP_Norm_Red!A:A, ACP_Norm_Red!H:H, "")*$D$9)</f>
        <v>-0.1976849107</v>
      </c>
    </row>
    <row r="20">
      <c r="L20" s="15" t="str">
        <f>'Récap'!A21</f>
        <v>e3d00c0bcfea6e4a68c5c4842d0bedac5e761cfa5be62ec60aae839f44a7f555</v>
      </c>
      <c r="M20" s="3">
        <f t="array" ref="M20">(XLOOKUP(L20, ACP_Norm_Red!A:A, ACP_Norm_Red!B:B, "")*$B$3) + 
(XLOOKUP(L20, ACP_Norm_Red!A:A, ACP_Norm_Red!C:C, "")*$B$4) + 
(XLOOKUP(L20, ACP_Norm_Red!A:A, ACP_Norm_Red!D:D, "")*$B$5) +
(XLOOKUP(L20, ACP_Norm_Red!A:A, ACP_Norm_Red!E:E, "")*$B$6) +
(XLOOKUP(L20, ACP_Norm_Red!A:A, ACP_Norm_Red!F:F, "")*$B$7) +
(XLOOKUP(L20, ACP_Norm_Red!A:A, ACP_Norm_Red!G:G, "")*$B$8) +
(XLOOKUP(L20, ACP_Norm_Red!A:A, ACP_Norm_Red!H:H, "")*$B$9)</f>
        <v>2.444981139</v>
      </c>
      <c r="N20" s="3">
        <f t="array" ref="N20">(XLOOKUP(L20, ACP_Norm_Red!A:A, ACP_Norm_Red!B:B, "")*$C$3) + 
(XLOOKUP(L20, ACP_Norm_Red!A:A, ACP_Norm_Red!C:C, "")*$C$4) + 
(XLOOKUP(L20, ACP_Norm_Red!A:A, ACP_Norm_Red!D:D, "")*$C$5) +
(XLOOKUP(L20, ACP_Norm_Red!A:A, ACP_Norm_Red!E:E, "")*$C$6) +
(XLOOKUP(L20, ACP_Norm_Red!A:A, ACP_Norm_Red!F:F, "")*$C$7) +
(XLOOKUP(L20, ACP_Norm_Red!A:A, ACP_Norm_Red!G:G, "")*$C$8) +
(XLOOKUP(L20, ACP_Norm_Red!A:A, ACP_Norm_Red!H:H, "")*$C$9)</f>
        <v>0.6000383444</v>
      </c>
      <c r="O20" s="3">
        <f t="array" ref="O20">(XLOOKUP(L20, ACP_Norm_Red!A:A, ACP_Norm_Red!B:B, "")*$D$3) + 
(XLOOKUP(L20, ACP_Norm_Red!A:A, ACP_Norm_Red!C:C, "")*$D$4) + 
(XLOOKUP(L20, ACP_Norm_Red!A:A, ACP_Norm_Red!D:D, "")*$D$5) +
(XLOOKUP(L20, ACP_Norm_Red!A:A, ACP_Norm_Red!E:E, "")*$D$6) +
(XLOOKUP(L20, ACP_Norm_Red!A:A, ACP_Norm_Red!F:F, "")*$D$7) +
(XLOOKUP(L20, ACP_Norm_Red!A:A, ACP_Norm_Red!G:G, "")*$D$8) +
(XLOOKUP(L20, ACP_Norm_Red!A:A, ACP_Norm_Red!H:H, "")*$D$9)</f>
        <v>-0.01613467054</v>
      </c>
    </row>
    <row r="21">
      <c r="L21" s="15" t="str">
        <f>'Récap'!A92</f>
        <v>438f91a3a02080977006d5b4ee2c29f6e0d0b58e848dc92712f3982a1449f481</v>
      </c>
      <c r="M21" s="3">
        <f t="array" ref="M21">(XLOOKUP(L21, ACP_Norm_Red!A:A, ACP_Norm_Red!B:B, "")*$B$3) + 
(XLOOKUP(L21, ACP_Norm_Red!A:A, ACP_Norm_Red!C:C, "")*$B$4) + 
(XLOOKUP(L21, ACP_Norm_Red!A:A, ACP_Norm_Red!D:D, "")*$B$5) +
(XLOOKUP(L21, ACP_Norm_Red!A:A, ACP_Norm_Red!E:E, "")*$B$6) +
(XLOOKUP(L21, ACP_Norm_Red!A:A, ACP_Norm_Red!F:F, "")*$B$7) +
(XLOOKUP(L21, ACP_Norm_Red!A:A, ACP_Norm_Red!G:G, "")*$B$8) +
(XLOOKUP(L21, ACP_Norm_Red!A:A, ACP_Norm_Red!H:H, "")*$B$9)</f>
        <v>1.141950018</v>
      </c>
      <c r="N21" s="3">
        <f t="array" ref="N21">(XLOOKUP(L21, ACP_Norm_Red!A:A, ACP_Norm_Red!B:B, "")*$C$3) + 
(XLOOKUP(L21, ACP_Norm_Red!A:A, ACP_Norm_Red!C:C, "")*$C$4) + 
(XLOOKUP(L21, ACP_Norm_Red!A:A, ACP_Norm_Red!D:D, "")*$C$5) +
(XLOOKUP(L21, ACP_Norm_Red!A:A, ACP_Norm_Red!E:E, "")*$C$6) +
(XLOOKUP(L21, ACP_Norm_Red!A:A, ACP_Norm_Red!F:F, "")*$C$7) +
(XLOOKUP(L21, ACP_Norm_Red!A:A, ACP_Norm_Red!G:G, "")*$C$8) +
(XLOOKUP(L21, ACP_Norm_Red!A:A, ACP_Norm_Red!H:H, "")*$C$9)</f>
        <v>-1.570004834</v>
      </c>
      <c r="O21" s="3">
        <f t="array" ref="O21">(XLOOKUP(L21, ACP_Norm_Red!A:A, ACP_Norm_Red!B:B, "")*$D$3) + 
(XLOOKUP(L21, ACP_Norm_Red!A:A, ACP_Norm_Red!C:C, "")*$D$4) + 
(XLOOKUP(L21, ACP_Norm_Red!A:A, ACP_Norm_Red!D:D, "")*$D$5) +
(XLOOKUP(L21, ACP_Norm_Red!A:A, ACP_Norm_Red!E:E, "")*$D$6) +
(XLOOKUP(L21, ACP_Norm_Red!A:A, ACP_Norm_Red!F:F, "")*$D$7) +
(XLOOKUP(L21, ACP_Norm_Red!A:A, ACP_Norm_Red!G:G, "")*$D$8) +
(XLOOKUP(L21, ACP_Norm_Red!A:A, ACP_Norm_Red!H:H, "")*$D$9)</f>
        <v>0.4472631204</v>
      </c>
    </row>
    <row r="22">
      <c r="A22" s="17" t="s">
        <v>144</v>
      </c>
      <c r="B22" s="17" t="s">
        <v>145</v>
      </c>
      <c r="C22" s="17" t="s">
        <v>146</v>
      </c>
      <c r="D22" s="17" t="s">
        <v>147</v>
      </c>
      <c r="L22" s="15" t="str">
        <f>'Récap'!A104</f>
        <v>a1a57315af0421443e73ff39f4cc4afaabfb05e5c435fafd3504fd91ab223453</v>
      </c>
      <c r="M22" s="3">
        <f t="array" ref="M22">(XLOOKUP(L22, ACP_Norm_Red!A:A, ACP_Norm_Red!B:B, "")*$B$3) + 
(XLOOKUP(L22, ACP_Norm_Red!A:A, ACP_Norm_Red!C:C, "")*$B$4) + 
(XLOOKUP(L22, ACP_Norm_Red!A:A, ACP_Norm_Red!D:D, "")*$B$5) +
(XLOOKUP(L22, ACP_Norm_Red!A:A, ACP_Norm_Red!E:E, "")*$B$6) +
(XLOOKUP(L22, ACP_Norm_Red!A:A, ACP_Norm_Red!F:F, "")*$B$7) +
(XLOOKUP(L22, ACP_Norm_Red!A:A, ACP_Norm_Red!G:G, "")*$B$8) +
(XLOOKUP(L22, ACP_Norm_Red!A:A, ACP_Norm_Red!H:H, "")*$B$9)</f>
        <v>-3.625629665</v>
      </c>
      <c r="N22" s="3">
        <f t="array" ref="N22">(XLOOKUP(L22, ACP_Norm_Red!A:A, ACP_Norm_Red!B:B, "")*$C$3) + 
(XLOOKUP(L22, ACP_Norm_Red!A:A, ACP_Norm_Red!C:C, "")*$C$4) + 
(XLOOKUP(L22, ACP_Norm_Red!A:A, ACP_Norm_Red!D:D, "")*$C$5) +
(XLOOKUP(L22, ACP_Norm_Red!A:A, ACP_Norm_Red!E:E, "")*$C$6) +
(XLOOKUP(L22, ACP_Norm_Red!A:A, ACP_Norm_Red!F:F, "")*$C$7) +
(XLOOKUP(L22, ACP_Norm_Red!A:A, ACP_Norm_Red!G:G, "")*$C$8) +
(XLOOKUP(L22, ACP_Norm_Red!A:A, ACP_Norm_Red!H:H, "")*$C$9)</f>
        <v>-0.4420341769</v>
      </c>
      <c r="O22" s="3">
        <f t="array" ref="O22">(XLOOKUP(L22, ACP_Norm_Red!A:A, ACP_Norm_Red!B:B, "")*$D$3) + 
(XLOOKUP(L22, ACP_Norm_Red!A:A, ACP_Norm_Red!C:C, "")*$D$4) + 
(XLOOKUP(L22, ACP_Norm_Red!A:A, ACP_Norm_Red!D:D, "")*$D$5) +
(XLOOKUP(L22, ACP_Norm_Red!A:A, ACP_Norm_Red!E:E, "")*$D$6) +
(XLOOKUP(L22, ACP_Norm_Red!A:A, ACP_Norm_Red!F:F, "")*$D$7) +
(XLOOKUP(L22, ACP_Norm_Red!A:A, ACP_Norm_Red!G:G, "")*$D$8) +
(XLOOKUP(L22, ACP_Norm_Red!A:A, ACP_Norm_Red!H:H, "")*$D$9)</f>
        <v>0.5631312521</v>
      </c>
    </row>
    <row r="23">
      <c r="A23" s="10" t="s">
        <v>18</v>
      </c>
      <c r="B23" s="12">
        <v>3.887142</v>
      </c>
      <c r="C23" s="12">
        <v>55.5306</v>
      </c>
      <c r="D23" s="12">
        <v>55.5306</v>
      </c>
      <c r="L23" s="15" t="str">
        <f>'Récap'!A78</f>
        <v>4d1ccd3b1393438168aeac88ee6d753d95c33c77fcc46afa13a5415a265323c2</v>
      </c>
      <c r="M23" s="3">
        <f t="array" ref="M23">(XLOOKUP(L23, ACP_Norm_Red!A:A, ACP_Norm_Red!B:B, "")*$B$3) + 
(XLOOKUP(L23, ACP_Norm_Red!A:A, ACP_Norm_Red!C:C, "")*$B$4) + 
(XLOOKUP(L23, ACP_Norm_Red!A:A, ACP_Norm_Red!D:D, "")*$B$5) +
(XLOOKUP(L23, ACP_Norm_Red!A:A, ACP_Norm_Red!E:E, "")*$B$6) +
(XLOOKUP(L23, ACP_Norm_Red!A:A, ACP_Norm_Red!F:F, "")*$B$7) +
(XLOOKUP(L23, ACP_Norm_Red!A:A, ACP_Norm_Red!G:G, "")*$B$8) +
(XLOOKUP(L23, ACP_Norm_Red!A:A, ACP_Norm_Red!H:H, "")*$B$9)</f>
        <v>-0.3857218785</v>
      </c>
      <c r="N23" s="3">
        <f t="array" ref="N23">(XLOOKUP(L23, ACP_Norm_Red!A:A, ACP_Norm_Red!B:B, "")*$C$3) + 
(XLOOKUP(L23, ACP_Norm_Red!A:A, ACP_Norm_Red!C:C, "")*$C$4) + 
(XLOOKUP(L23, ACP_Norm_Red!A:A, ACP_Norm_Red!D:D, "")*$C$5) +
(XLOOKUP(L23, ACP_Norm_Red!A:A, ACP_Norm_Red!E:E, "")*$C$6) +
(XLOOKUP(L23, ACP_Norm_Red!A:A, ACP_Norm_Red!F:F, "")*$C$7) +
(XLOOKUP(L23, ACP_Norm_Red!A:A, ACP_Norm_Red!G:G, "")*$C$8) +
(XLOOKUP(L23, ACP_Norm_Red!A:A, ACP_Norm_Red!H:H, "")*$C$9)</f>
        <v>-0.08607812513</v>
      </c>
      <c r="O23" s="3">
        <f t="array" ref="O23">(XLOOKUP(L23, ACP_Norm_Red!A:A, ACP_Norm_Red!B:B, "")*$D$3) + 
(XLOOKUP(L23, ACP_Norm_Red!A:A, ACP_Norm_Red!C:C, "")*$D$4) + 
(XLOOKUP(L23, ACP_Norm_Red!A:A, ACP_Norm_Red!D:D, "")*$D$5) +
(XLOOKUP(L23, ACP_Norm_Red!A:A, ACP_Norm_Red!E:E, "")*$D$6) +
(XLOOKUP(L23, ACP_Norm_Red!A:A, ACP_Norm_Red!F:F, "")*$D$7) +
(XLOOKUP(L23, ACP_Norm_Red!A:A, ACP_Norm_Red!G:G, "")*$D$8) +
(XLOOKUP(L23, ACP_Norm_Red!A:A, ACP_Norm_Red!H:H, "")*$D$9)</f>
        <v>-1.322227718</v>
      </c>
    </row>
    <row r="24">
      <c r="A24" s="10" t="s">
        <v>19</v>
      </c>
      <c r="B24" s="12">
        <v>1.500422</v>
      </c>
      <c r="C24" s="12">
        <v>21.43459</v>
      </c>
      <c r="D24" s="12">
        <v>76.9652</v>
      </c>
      <c r="L24" s="15" t="str">
        <f>'Récap'!A35</f>
        <v>effa5fafd71a87510e477792561dc4c6a0d7a624d93f5ee78db77ac7c2a41d63</v>
      </c>
      <c r="M24" s="3">
        <f t="array" ref="M24">(XLOOKUP(L24, ACP_Norm_Red!A:A, ACP_Norm_Red!B:B, "")*$B$3) + 
(XLOOKUP(L24, ACP_Norm_Red!A:A, ACP_Norm_Red!C:C, "")*$B$4) + 
(XLOOKUP(L24, ACP_Norm_Red!A:A, ACP_Norm_Red!D:D, "")*$B$5) +
(XLOOKUP(L24, ACP_Norm_Red!A:A, ACP_Norm_Red!E:E, "")*$B$6) +
(XLOOKUP(L24, ACP_Norm_Red!A:A, ACP_Norm_Red!F:F, "")*$B$7) +
(XLOOKUP(L24, ACP_Norm_Red!A:A, ACP_Norm_Red!G:G, "")*$B$8) +
(XLOOKUP(L24, ACP_Norm_Red!A:A, ACP_Norm_Red!H:H, "")*$B$9)</f>
        <v>0.9546065161</v>
      </c>
      <c r="N24" s="3">
        <f t="array" ref="N24">(XLOOKUP(L24, ACP_Norm_Red!A:A, ACP_Norm_Red!B:B, "")*$C$3) + 
(XLOOKUP(L24, ACP_Norm_Red!A:A, ACP_Norm_Red!C:C, "")*$C$4) + 
(XLOOKUP(L24, ACP_Norm_Red!A:A, ACP_Norm_Red!D:D, "")*$C$5) +
(XLOOKUP(L24, ACP_Norm_Red!A:A, ACP_Norm_Red!E:E, "")*$C$6) +
(XLOOKUP(L24, ACP_Norm_Red!A:A, ACP_Norm_Red!F:F, "")*$C$7) +
(XLOOKUP(L24, ACP_Norm_Red!A:A, ACP_Norm_Red!G:G, "")*$C$8) +
(XLOOKUP(L24, ACP_Norm_Red!A:A, ACP_Norm_Red!H:H, "")*$C$9)</f>
        <v>-0.4034231267</v>
      </c>
      <c r="O24" s="3">
        <f t="array" ref="O24">(XLOOKUP(L24, ACP_Norm_Red!A:A, ACP_Norm_Red!B:B, "")*$D$3) + 
(XLOOKUP(L24, ACP_Norm_Red!A:A, ACP_Norm_Red!C:C, "")*$D$4) + 
(XLOOKUP(L24, ACP_Norm_Red!A:A, ACP_Norm_Red!D:D, "")*$D$5) +
(XLOOKUP(L24, ACP_Norm_Red!A:A, ACP_Norm_Red!E:E, "")*$D$6) +
(XLOOKUP(L24, ACP_Norm_Red!A:A, ACP_Norm_Red!F:F, "")*$D$7) +
(XLOOKUP(L24, ACP_Norm_Red!A:A, ACP_Norm_Red!G:G, "")*$D$8) +
(XLOOKUP(L24, ACP_Norm_Red!A:A, ACP_Norm_Red!H:H, "")*$D$9)</f>
        <v>-1.999978983</v>
      </c>
    </row>
    <row r="25">
      <c r="A25" s="10" t="s">
        <v>20</v>
      </c>
      <c r="B25" s="12">
        <v>1.160807</v>
      </c>
      <c r="C25" s="12">
        <v>16.58295</v>
      </c>
      <c r="D25" s="12">
        <v>93.54815</v>
      </c>
      <c r="L25" s="15" t="str">
        <f>'Récap'!A40</f>
        <v>cf13a4b65841c7dceb8412708517c5be0cdedb328ac511655c4a95ee813d548b</v>
      </c>
      <c r="M25" s="3">
        <f t="array" ref="M25">(XLOOKUP(L25, ACP_Norm_Red!A:A, ACP_Norm_Red!B:B, "")*$B$3) + 
(XLOOKUP(L25, ACP_Norm_Red!A:A, ACP_Norm_Red!C:C, "")*$B$4) + 
(XLOOKUP(L25, ACP_Norm_Red!A:A, ACP_Norm_Red!D:D, "")*$B$5) +
(XLOOKUP(L25, ACP_Norm_Red!A:A, ACP_Norm_Red!E:E, "")*$B$6) +
(XLOOKUP(L25, ACP_Norm_Red!A:A, ACP_Norm_Red!F:F, "")*$B$7) +
(XLOOKUP(L25, ACP_Norm_Red!A:A, ACP_Norm_Red!G:G, "")*$B$8) +
(XLOOKUP(L25, ACP_Norm_Red!A:A, ACP_Norm_Red!H:H, "")*$B$9)</f>
        <v>-0.6437444706</v>
      </c>
      <c r="N25" s="3">
        <f t="array" ref="N25">(XLOOKUP(L25, ACP_Norm_Red!A:A, ACP_Norm_Red!B:B, "")*$C$3) + 
(XLOOKUP(L25, ACP_Norm_Red!A:A, ACP_Norm_Red!C:C, "")*$C$4) + 
(XLOOKUP(L25, ACP_Norm_Red!A:A, ACP_Norm_Red!D:D, "")*$C$5) +
(XLOOKUP(L25, ACP_Norm_Red!A:A, ACP_Norm_Red!E:E, "")*$C$6) +
(XLOOKUP(L25, ACP_Norm_Red!A:A, ACP_Norm_Red!F:F, "")*$C$7) +
(XLOOKUP(L25, ACP_Norm_Red!A:A, ACP_Norm_Red!G:G, "")*$C$8) +
(XLOOKUP(L25, ACP_Norm_Red!A:A, ACP_Norm_Red!H:H, "")*$C$9)</f>
        <v>-1.184239058</v>
      </c>
      <c r="O25" s="3">
        <f t="array" ref="O25">(XLOOKUP(L25, ACP_Norm_Red!A:A, ACP_Norm_Red!B:B, "")*$D$3) + 
(XLOOKUP(L25, ACP_Norm_Red!A:A, ACP_Norm_Red!C:C, "")*$D$4) + 
(XLOOKUP(L25, ACP_Norm_Red!A:A, ACP_Norm_Red!D:D, "")*$D$5) +
(XLOOKUP(L25, ACP_Norm_Red!A:A, ACP_Norm_Red!E:E, "")*$D$6) +
(XLOOKUP(L25, ACP_Norm_Red!A:A, ACP_Norm_Red!F:F, "")*$D$7) +
(XLOOKUP(L25, ACP_Norm_Red!A:A, ACP_Norm_Red!G:G, "")*$D$8) +
(XLOOKUP(L25, ACP_Norm_Red!A:A, ACP_Norm_Red!H:H, "")*$D$9)</f>
        <v>0.5741227299</v>
      </c>
    </row>
    <row r="26">
      <c r="A26" s="10" t="s">
        <v>21</v>
      </c>
      <c r="B26" s="12">
        <v>0.206595</v>
      </c>
      <c r="C26" s="12">
        <v>2.951357</v>
      </c>
      <c r="D26" s="12">
        <v>96.49951</v>
      </c>
      <c r="L26" s="15" t="str">
        <f>'Récap'!A67</f>
        <v>bfe01fd74f4a333b18002bc2d02ce800bee2e244cc59a5156ca3fcc5a0cdce00</v>
      </c>
      <c r="M26" s="3">
        <f t="array" ref="M26">(XLOOKUP(L26, ACP_Norm_Red!A:A, ACP_Norm_Red!B:B, "")*$B$3) + 
(XLOOKUP(L26, ACP_Norm_Red!A:A, ACP_Norm_Red!C:C, "")*$B$4) + 
(XLOOKUP(L26, ACP_Norm_Red!A:A, ACP_Norm_Red!D:D, "")*$B$5) +
(XLOOKUP(L26, ACP_Norm_Red!A:A, ACP_Norm_Red!E:E, "")*$B$6) +
(XLOOKUP(L26, ACP_Norm_Red!A:A, ACP_Norm_Red!F:F, "")*$B$7) +
(XLOOKUP(L26, ACP_Norm_Red!A:A, ACP_Norm_Red!G:G, "")*$B$8) +
(XLOOKUP(L26, ACP_Norm_Red!A:A, ACP_Norm_Red!H:H, "")*$B$9)</f>
        <v>-0.4567175027</v>
      </c>
      <c r="N26" s="3">
        <f t="array" ref="N26">(XLOOKUP(L26, ACP_Norm_Red!A:A, ACP_Norm_Red!B:B, "")*$C$3) + 
(XLOOKUP(L26, ACP_Norm_Red!A:A, ACP_Norm_Red!C:C, "")*$C$4) + 
(XLOOKUP(L26, ACP_Norm_Red!A:A, ACP_Norm_Red!D:D, "")*$C$5) +
(XLOOKUP(L26, ACP_Norm_Red!A:A, ACP_Norm_Red!E:E, "")*$C$6) +
(XLOOKUP(L26, ACP_Norm_Red!A:A, ACP_Norm_Red!F:F, "")*$C$7) +
(XLOOKUP(L26, ACP_Norm_Red!A:A, ACP_Norm_Red!G:G, "")*$C$8) +
(XLOOKUP(L26, ACP_Norm_Red!A:A, ACP_Norm_Red!H:H, "")*$C$9)</f>
        <v>-1.19646674</v>
      </c>
      <c r="O26" s="3">
        <f t="array" ref="O26">(XLOOKUP(L26, ACP_Norm_Red!A:A, ACP_Norm_Red!B:B, "")*$D$3) + 
(XLOOKUP(L26, ACP_Norm_Red!A:A, ACP_Norm_Red!C:C, "")*$D$4) + 
(XLOOKUP(L26, ACP_Norm_Red!A:A, ACP_Norm_Red!D:D, "")*$D$5) +
(XLOOKUP(L26, ACP_Norm_Red!A:A, ACP_Norm_Red!E:E, "")*$D$6) +
(XLOOKUP(L26, ACP_Norm_Red!A:A, ACP_Norm_Red!F:F, "")*$D$7) +
(XLOOKUP(L26, ACP_Norm_Red!A:A, ACP_Norm_Red!G:G, "")*$D$8) +
(XLOOKUP(L26, ACP_Norm_Red!A:A, ACP_Norm_Red!H:H, "")*$D$9)</f>
        <v>0.5139685613</v>
      </c>
    </row>
    <row r="27">
      <c r="A27" s="10" t="s">
        <v>22</v>
      </c>
      <c r="B27" s="12">
        <v>0.190746</v>
      </c>
      <c r="C27" s="12">
        <v>2.724948</v>
      </c>
      <c r="D27" s="12">
        <v>99.22446</v>
      </c>
      <c r="L27" s="15" t="str">
        <f>'Récap'!A4</f>
        <v>cef23c3f251969f778435219b38afa60f2e41b3927e82fa6d43de8c59f93f883</v>
      </c>
      <c r="M27" s="3">
        <f t="array" ref="M27">(XLOOKUP(L27, ACP_Norm_Red!A:A, ACP_Norm_Red!B:B, "")*$B$3) + 
(XLOOKUP(L27, ACP_Norm_Red!A:A, ACP_Norm_Red!C:C, "")*$B$4) + 
(XLOOKUP(L27, ACP_Norm_Red!A:A, ACP_Norm_Red!D:D, "")*$B$5) +
(XLOOKUP(L27, ACP_Norm_Red!A:A, ACP_Norm_Red!E:E, "")*$B$6) +
(XLOOKUP(L27, ACP_Norm_Red!A:A, ACP_Norm_Red!F:F, "")*$B$7) +
(XLOOKUP(L27, ACP_Norm_Red!A:A, ACP_Norm_Red!G:G, "")*$B$8) +
(XLOOKUP(L27, ACP_Norm_Red!A:A, ACP_Norm_Red!H:H, "")*$B$9)</f>
        <v>0.4760376705</v>
      </c>
      <c r="N27" s="3">
        <f t="array" ref="N27">(XLOOKUP(L27, ACP_Norm_Red!A:A, ACP_Norm_Red!B:B, "")*$C$3) + 
(XLOOKUP(L27, ACP_Norm_Red!A:A, ACP_Norm_Red!C:C, "")*$C$4) + 
(XLOOKUP(L27, ACP_Norm_Red!A:A, ACP_Norm_Red!D:D, "")*$C$5) +
(XLOOKUP(L27, ACP_Norm_Red!A:A, ACP_Norm_Red!E:E, "")*$C$6) +
(XLOOKUP(L27, ACP_Norm_Red!A:A, ACP_Norm_Red!F:F, "")*$C$7) +
(XLOOKUP(L27, ACP_Norm_Red!A:A, ACP_Norm_Red!G:G, "")*$C$8) +
(XLOOKUP(L27, ACP_Norm_Red!A:A, ACP_Norm_Red!H:H, "")*$C$9)</f>
        <v>-0.2769137191</v>
      </c>
      <c r="O27" s="3">
        <f t="array" ref="O27">(XLOOKUP(L27, ACP_Norm_Red!A:A, ACP_Norm_Red!B:B, "")*$D$3) + 
(XLOOKUP(L27, ACP_Norm_Red!A:A, ACP_Norm_Red!C:C, "")*$D$4) + 
(XLOOKUP(L27, ACP_Norm_Red!A:A, ACP_Norm_Red!D:D, "")*$D$5) +
(XLOOKUP(L27, ACP_Norm_Red!A:A, ACP_Norm_Red!E:E, "")*$D$6) +
(XLOOKUP(L27, ACP_Norm_Red!A:A, ACP_Norm_Red!F:F, "")*$D$7) +
(XLOOKUP(L27, ACP_Norm_Red!A:A, ACP_Norm_Red!G:G, "")*$D$8) +
(XLOOKUP(L27, ACP_Norm_Red!A:A, ACP_Norm_Red!H:H, "")*$D$9)</f>
        <v>-2.231136772</v>
      </c>
    </row>
    <row r="28">
      <c r="A28" s="10" t="s">
        <v>23</v>
      </c>
      <c r="B28" s="12">
        <v>0.043853</v>
      </c>
      <c r="C28" s="12">
        <v>0.626476</v>
      </c>
      <c r="D28" s="12">
        <v>99.85093</v>
      </c>
      <c r="L28" s="15" t="str">
        <f>'Récap'!A30</f>
        <v>5d60fc4768a0d01e3d533d2d5353bdffb58877bc2971bc7053a54071fa4c2f49</v>
      </c>
      <c r="M28" s="3">
        <f t="array" ref="M28">(XLOOKUP(L28, ACP_Norm_Red!A:A, ACP_Norm_Red!B:B, "")*$B$3) + 
(XLOOKUP(L28, ACP_Norm_Red!A:A, ACP_Norm_Red!C:C, "")*$B$4) + 
(XLOOKUP(L28, ACP_Norm_Red!A:A, ACP_Norm_Red!D:D, "")*$B$5) +
(XLOOKUP(L28, ACP_Norm_Red!A:A, ACP_Norm_Red!E:E, "")*$B$6) +
(XLOOKUP(L28, ACP_Norm_Red!A:A, ACP_Norm_Red!F:F, "")*$B$7) +
(XLOOKUP(L28, ACP_Norm_Red!A:A, ACP_Norm_Red!G:G, "")*$B$8) +
(XLOOKUP(L28, ACP_Norm_Red!A:A, ACP_Norm_Red!H:H, "")*$B$9)</f>
        <v>0.6161277914</v>
      </c>
      <c r="N28" s="3">
        <f t="array" ref="N28">(XLOOKUP(L28, ACP_Norm_Red!A:A, ACP_Norm_Red!B:B, "")*$C$3) + 
(XLOOKUP(L28, ACP_Norm_Red!A:A, ACP_Norm_Red!C:C, "")*$C$4) + 
(XLOOKUP(L28, ACP_Norm_Red!A:A, ACP_Norm_Red!D:D, "")*$C$5) +
(XLOOKUP(L28, ACP_Norm_Red!A:A, ACP_Norm_Red!E:E, "")*$C$6) +
(XLOOKUP(L28, ACP_Norm_Red!A:A, ACP_Norm_Red!F:F, "")*$C$7) +
(XLOOKUP(L28, ACP_Norm_Red!A:A, ACP_Norm_Red!G:G, "")*$C$8) +
(XLOOKUP(L28, ACP_Norm_Red!A:A, ACP_Norm_Red!H:H, "")*$C$9)</f>
        <v>0.596582279</v>
      </c>
      <c r="O28" s="3">
        <f t="array" ref="O28">(XLOOKUP(L28, ACP_Norm_Red!A:A, ACP_Norm_Red!B:B, "")*$D$3) + 
(XLOOKUP(L28, ACP_Norm_Red!A:A, ACP_Norm_Red!C:C, "")*$D$4) + 
(XLOOKUP(L28, ACP_Norm_Red!A:A, ACP_Norm_Red!D:D, "")*$D$5) +
(XLOOKUP(L28, ACP_Norm_Red!A:A, ACP_Norm_Red!E:E, "")*$D$6) +
(XLOOKUP(L28, ACP_Norm_Red!A:A, ACP_Norm_Red!F:F, "")*$D$7) +
(XLOOKUP(L28, ACP_Norm_Red!A:A, ACP_Norm_Red!G:G, "")*$D$8) +
(XLOOKUP(L28, ACP_Norm_Red!A:A, ACP_Norm_Red!H:H, "")*$D$9)</f>
        <v>-1.295734013</v>
      </c>
    </row>
    <row r="29">
      <c r="A29" s="10" t="s">
        <v>24</v>
      </c>
      <c r="B29" s="12">
        <v>0.010435</v>
      </c>
      <c r="C29" s="12">
        <v>0.149068</v>
      </c>
      <c r="D29" s="12">
        <v>100.0</v>
      </c>
      <c r="L29" s="15" t="str">
        <f>'Récap'!A88</f>
        <v>f8dac969c272aabb2ba0adebac1b711f0f174a8288053069be5391c65bb027c3</v>
      </c>
      <c r="M29" s="3">
        <f t="array" ref="M29">(XLOOKUP(L29, ACP_Norm_Red!A:A, ACP_Norm_Red!B:B, "")*$B$3) + 
(XLOOKUP(L29, ACP_Norm_Red!A:A, ACP_Norm_Red!C:C, "")*$B$4) + 
(XLOOKUP(L29, ACP_Norm_Red!A:A, ACP_Norm_Red!D:D, "")*$B$5) +
(XLOOKUP(L29, ACP_Norm_Red!A:A, ACP_Norm_Red!E:E, "")*$B$6) +
(XLOOKUP(L29, ACP_Norm_Red!A:A, ACP_Norm_Red!F:F, "")*$B$7) +
(XLOOKUP(L29, ACP_Norm_Red!A:A, ACP_Norm_Red!G:G, "")*$B$8) +
(XLOOKUP(L29, ACP_Norm_Red!A:A, ACP_Norm_Red!H:H, "")*$B$9)</f>
        <v>-1.463169232</v>
      </c>
      <c r="N29" s="3">
        <f t="array" ref="N29">(XLOOKUP(L29, ACP_Norm_Red!A:A, ACP_Norm_Red!B:B, "")*$C$3) + 
(XLOOKUP(L29, ACP_Norm_Red!A:A, ACP_Norm_Red!C:C, "")*$C$4) + 
(XLOOKUP(L29, ACP_Norm_Red!A:A, ACP_Norm_Red!D:D, "")*$C$5) +
(XLOOKUP(L29, ACP_Norm_Red!A:A, ACP_Norm_Red!E:E, "")*$C$6) +
(XLOOKUP(L29, ACP_Norm_Red!A:A, ACP_Norm_Red!F:F, "")*$C$7) +
(XLOOKUP(L29, ACP_Norm_Red!A:A, ACP_Norm_Red!G:G, "")*$C$8) +
(XLOOKUP(L29, ACP_Norm_Red!A:A, ACP_Norm_Red!H:H, "")*$C$9)</f>
        <v>0.1536360881</v>
      </c>
      <c r="O29" s="3">
        <f t="array" ref="O29">(XLOOKUP(L29, ACP_Norm_Red!A:A, ACP_Norm_Red!B:B, "")*$D$3) + 
(XLOOKUP(L29, ACP_Norm_Red!A:A, ACP_Norm_Red!C:C, "")*$D$4) + 
(XLOOKUP(L29, ACP_Norm_Red!A:A, ACP_Norm_Red!D:D, "")*$D$5) +
(XLOOKUP(L29, ACP_Norm_Red!A:A, ACP_Norm_Red!E:E, "")*$D$6) +
(XLOOKUP(L29, ACP_Norm_Red!A:A, ACP_Norm_Red!F:F, "")*$D$7) +
(XLOOKUP(L29, ACP_Norm_Red!A:A, ACP_Norm_Red!G:G, "")*$D$8) +
(XLOOKUP(L29, ACP_Norm_Red!A:A, ACP_Norm_Red!H:H, "")*$D$9)</f>
        <v>-0.9709179002</v>
      </c>
    </row>
    <row r="30">
      <c r="L30" s="15" t="str">
        <f>'Récap'!A39</f>
        <v>bd7739509fa70c858197ea24926c2c696b797f60240eac8fe389b1d67ce663be</v>
      </c>
      <c r="M30" s="3">
        <f t="array" ref="M30">(XLOOKUP(L30, ACP_Norm_Red!A:A, ACP_Norm_Red!B:B, "")*$B$3) + 
(XLOOKUP(L30, ACP_Norm_Red!A:A, ACP_Norm_Red!C:C, "")*$B$4) + 
(XLOOKUP(L30, ACP_Norm_Red!A:A, ACP_Norm_Red!D:D, "")*$B$5) +
(XLOOKUP(L30, ACP_Norm_Red!A:A, ACP_Norm_Red!E:E, "")*$B$6) +
(XLOOKUP(L30, ACP_Norm_Red!A:A, ACP_Norm_Red!F:F, "")*$B$7) +
(XLOOKUP(L30, ACP_Norm_Red!A:A, ACP_Norm_Red!G:G, "")*$B$8) +
(XLOOKUP(L30, ACP_Norm_Red!A:A, ACP_Norm_Red!H:H, "")*$B$9)</f>
        <v>-2.448711526</v>
      </c>
      <c r="N30" s="3">
        <f t="array" ref="N30">(XLOOKUP(L30, ACP_Norm_Red!A:A, ACP_Norm_Red!B:B, "")*$C$3) + 
(XLOOKUP(L30, ACP_Norm_Red!A:A, ACP_Norm_Red!C:C, "")*$C$4) + 
(XLOOKUP(L30, ACP_Norm_Red!A:A, ACP_Norm_Red!D:D, "")*$C$5) +
(XLOOKUP(L30, ACP_Norm_Red!A:A, ACP_Norm_Red!E:E, "")*$C$6) +
(XLOOKUP(L30, ACP_Norm_Red!A:A, ACP_Norm_Red!F:F, "")*$C$7) +
(XLOOKUP(L30, ACP_Norm_Red!A:A, ACP_Norm_Red!G:G, "")*$C$8) +
(XLOOKUP(L30, ACP_Norm_Red!A:A, ACP_Norm_Red!H:H, "")*$C$9)</f>
        <v>-0.7222535096</v>
      </c>
      <c r="O30" s="3">
        <f t="array" ref="O30">(XLOOKUP(L30, ACP_Norm_Red!A:A, ACP_Norm_Red!B:B, "")*$D$3) + 
(XLOOKUP(L30, ACP_Norm_Red!A:A, ACP_Norm_Red!C:C, "")*$D$4) + 
(XLOOKUP(L30, ACP_Norm_Red!A:A, ACP_Norm_Red!D:D, "")*$D$5) +
(XLOOKUP(L30, ACP_Norm_Red!A:A, ACP_Norm_Red!E:E, "")*$D$6) +
(XLOOKUP(L30, ACP_Norm_Red!A:A, ACP_Norm_Red!F:F, "")*$D$7) +
(XLOOKUP(L30, ACP_Norm_Red!A:A, ACP_Norm_Red!G:G, "")*$D$8) +
(XLOOKUP(L30, ACP_Norm_Red!A:A, ACP_Norm_Red!H:H, "")*$D$9)</f>
        <v>0.5473286948</v>
      </c>
    </row>
    <row r="31">
      <c r="L31" s="15" t="str">
        <f>'Récap'!A107</f>
        <v>519b74a02a32927ee8af772a01038d36736eb2aaeb604f8a15719710d72ccc04</v>
      </c>
      <c r="M31" s="3">
        <f t="array" ref="M31">(XLOOKUP(L31, ACP_Norm_Red!A:A, ACP_Norm_Red!B:B, "")*$B$3) + 
(XLOOKUP(L31, ACP_Norm_Red!A:A, ACP_Norm_Red!C:C, "")*$B$4) + 
(XLOOKUP(L31, ACP_Norm_Red!A:A, ACP_Norm_Red!D:D, "")*$B$5) +
(XLOOKUP(L31, ACP_Norm_Red!A:A, ACP_Norm_Red!E:E, "")*$B$6) +
(XLOOKUP(L31, ACP_Norm_Red!A:A, ACP_Norm_Red!F:F, "")*$B$7) +
(XLOOKUP(L31, ACP_Norm_Red!A:A, ACP_Norm_Red!G:G, "")*$B$8) +
(XLOOKUP(L31, ACP_Norm_Red!A:A, ACP_Norm_Red!H:H, "")*$B$9)</f>
        <v>-2.668736807</v>
      </c>
      <c r="N31" s="3">
        <f t="array" ref="N31">(XLOOKUP(L31, ACP_Norm_Red!A:A, ACP_Norm_Red!B:B, "")*$C$3) + 
(XLOOKUP(L31, ACP_Norm_Red!A:A, ACP_Norm_Red!C:C, "")*$C$4) + 
(XLOOKUP(L31, ACP_Norm_Red!A:A, ACP_Norm_Red!D:D, "")*$C$5) +
(XLOOKUP(L31, ACP_Norm_Red!A:A, ACP_Norm_Red!E:E, "")*$C$6) +
(XLOOKUP(L31, ACP_Norm_Red!A:A, ACP_Norm_Red!F:F, "")*$C$7) +
(XLOOKUP(L31, ACP_Norm_Red!A:A, ACP_Norm_Red!G:G, "")*$C$8) +
(XLOOKUP(L31, ACP_Norm_Red!A:A, ACP_Norm_Red!H:H, "")*$C$9)</f>
        <v>-0.5459414501</v>
      </c>
      <c r="O31" s="3">
        <f t="array" ref="O31">(XLOOKUP(L31, ACP_Norm_Red!A:A, ACP_Norm_Red!B:B, "")*$D$3) + 
(XLOOKUP(L31, ACP_Norm_Red!A:A, ACP_Norm_Red!C:C, "")*$D$4) + 
(XLOOKUP(L31, ACP_Norm_Red!A:A, ACP_Norm_Red!D:D, "")*$D$5) +
(XLOOKUP(L31, ACP_Norm_Red!A:A, ACP_Norm_Red!E:E, "")*$D$6) +
(XLOOKUP(L31, ACP_Norm_Red!A:A, ACP_Norm_Red!F:F, "")*$D$7) +
(XLOOKUP(L31, ACP_Norm_Red!A:A, ACP_Norm_Red!G:G, "")*$D$8) +
(XLOOKUP(L31, ACP_Norm_Red!A:A, ACP_Norm_Red!H:H, "")*$D$9)</f>
        <v>-0.6049226776</v>
      </c>
    </row>
    <row r="32">
      <c r="L32" s="15" t="str">
        <f>'Récap'!A51</f>
        <v>33d11b837cec96010145671e6661210fd68f3004627f8929038256ca7a8d8ebf</v>
      </c>
      <c r="M32" s="3">
        <f t="array" ref="M32">(XLOOKUP(L32, ACP_Norm_Red!A:A, ACP_Norm_Red!B:B, "")*$B$3) + 
(XLOOKUP(L32, ACP_Norm_Red!A:A, ACP_Norm_Red!C:C, "")*$B$4) + 
(XLOOKUP(L32, ACP_Norm_Red!A:A, ACP_Norm_Red!D:D, "")*$B$5) +
(XLOOKUP(L32, ACP_Norm_Red!A:A, ACP_Norm_Red!E:E, "")*$B$6) +
(XLOOKUP(L32, ACP_Norm_Red!A:A, ACP_Norm_Red!F:F, "")*$B$7) +
(XLOOKUP(L32, ACP_Norm_Red!A:A, ACP_Norm_Red!G:G, "")*$B$8) +
(XLOOKUP(L32, ACP_Norm_Red!A:A, ACP_Norm_Red!H:H, "")*$B$9)</f>
        <v>1.532177289</v>
      </c>
      <c r="N32" s="3">
        <f t="array" ref="N32">(XLOOKUP(L32, ACP_Norm_Red!A:A, ACP_Norm_Red!B:B, "")*$C$3) + 
(XLOOKUP(L32, ACP_Norm_Red!A:A, ACP_Norm_Red!C:C, "")*$C$4) + 
(XLOOKUP(L32, ACP_Norm_Red!A:A, ACP_Norm_Red!D:D, "")*$C$5) +
(XLOOKUP(L32, ACP_Norm_Red!A:A, ACP_Norm_Red!E:E, "")*$C$6) +
(XLOOKUP(L32, ACP_Norm_Red!A:A, ACP_Norm_Red!F:F, "")*$C$7) +
(XLOOKUP(L32, ACP_Norm_Red!A:A, ACP_Norm_Red!G:G, "")*$C$8) +
(XLOOKUP(L32, ACP_Norm_Red!A:A, ACP_Norm_Red!H:H, "")*$C$9)</f>
        <v>-0.3321247325</v>
      </c>
      <c r="O32" s="3">
        <f t="array" ref="O32">(XLOOKUP(L32, ACP_Norm_Red!A:A, ACP_Norm_Red!B:B, "")*$D$3) + 
(XLOOKUP(L32, ACP_Norm_Red!A:A, ACP_Norm_Red!C:C, "")*$D$4) + 
(XLOOKUP(L32, ACP_Norm_Red!A:A, ACP_Norm_Red!D:D, "")*$D$5) +
(XLOOKUP(L32, ACP_Norm_Red!A:A, ACP_Norm_Red!E:E, "")*$D$6) +
(XLOOKUP(L32, ACP_Norm_Red!A:A, ACP_Norm_Red!F:F, "")*$D$7) +
(XLOOKUP(L32, ACP_Norm_Red!A:A, ACP_Norm_Red!G:G, "")*$D$8) +
(XLOOKUP(L32, ACP_Norm_Red!A:A, ACP_Norm_Red!H:H, "")*$D$9)</f>
        <v>0.1220938321</v>
      </c>
    </row>
    <row r="33">
      <c r="L33" s="15" t="str">
        <f>'Récap'!A50</f>
        <v>4557b3c2bc31d36048e3c48befc7212d35b7d0d885d3d1f102c9060238b5090a</v>
      </c>
      <c r="M33" s="3">
        <f t="array" ref="M33">(XLOOKUP(L33, ACP_Norm_Red!A:A, ACP_Norm_Red!B:B, "")*$B$3) + 
(XLOOKUP(L33, ACP_Norm_Red!A:A, ACP_Norm_Red!C:C, "")*$B$4) + 
(XLOOKUP(L33, ACP_Norm_Red!A:A, ACP_Norm_Red!D:D, "")*$B$5) +
(XLOOKUP(L33, ACP_Norm_Red!A:A, ACP_Norm_Red!E:E, "")*$B$6) +
(XLOOKUP(L33, ACP_Norm_Red!A:A, ACP_Norm_Red!F:F, "")*$B$7) +
(XLOOKUP(L33, ACP_Norm_Red!A:A, ACP_Norm_Red!G:G, "")*$B$8) +
(XLOOKUP(L33, ACP_Norm_Red!A:A, ACP_Norm_Red!H:H, "")*$B$9)</f>
        <v>-1.659395508</v>
      </c>
      <c r="N33" s="3">
        <f t="array" ref="N33">(XLOOKUP(L33, ACP_Norm_Red!A:A, ACP_Norm_Red!B:B, "")*$C$3) + 
(XLOOKUP(L33, ACP_Norm_Red!A:A, ACP_Norm_Red!C:C, "")*$C$4) + 
(XLOOKUP(L33, ACP_Norm_Red!A:A, ACP_Norm_Red!D:D, "")*$C$5) +
(XLOOKUP(L33, ACP_Norm_Red!A:A, ACP_Norm_Red!E:E, "")*$C$6) +
(XLOOKUP(L33, ACP_Norm_Red!A:A, ACP_Norm_Red!F:F, "")*$C$7) +
(XLOOKUP(L33, ACP_Norm_Red!A:A, ACP_Norm_Red!G:G, "")*$C$8) +
(XLOOKUP(L33, ACP_Norm_Red!A:A, ACP_Norm_Red!H:H, "")*$C$9)</f>
        <v>0.2724517024</v>
      </c>
      <c r="O33" s="3">
        <f t="array" ref="O33">(XLOOKUP(L33, ACP_Norm_Red!A:A, ACP_Norm_Red!B:B, "")*$D$3) + 
(XLOOKUP(L33, ACP_Norm_Red!A:A, ACP_Norm_Red!C:C, "")*$D$4) + 
(XLOOKUP(L33, ACP_Norm_Red!A:A, ACP_Norm_Red!D:D, "")*$D$5) +
(XLOOKUP(L33, ACP_Norm_Red!A:A, ACP_Norm_Red!E:E, "")*$D$6) +
(XLOOKUP(L33, ACP_Norm_Red!A:A, ACP_Norm_Red!F:F, "")*$D$7) +
(XLOOKUP(L33, ACP_Norm_Red!A:A, ACP_Norm_Red!G:G, "")*$D$8) +
(XLOOKUP(L33, ACP_Norm_Red!A:A, ACP_Norm_Red!H:H, "")*$D$9)</f>
        <v>-0.1958252209</v>
      </c>
    </row>
    <row r="34">
      <c r="L34" s="15" t="str">
        <f>'Récap'!A73</f>
        <v>cbdbb864a7b15c5903aa09adff018a3d184f25c250b86926a5bc3fd9d9169037</v>
      </c>
      <c r="M34" s="3">
        <f t="array" ref="M34">(XLOOKUP(L34, ACP_Norm_Red!A:A, ACP_Norm_Red!B:B, "")*$B$3) + 
(XLOOKUP(L34, ACP_Norm_Red!A:A, ACP_Norm_Red!C:C, "")*$B$4) + 
(XLOOKUP(L34, ACP_Norm_Red!A:A, ACP_Norm_Red!D:D, "")*$B$5) +
(XLOOKUP(L34, ACP_Norm_Red!A:A, ACP_Norm_Red!E:E, "")*$B$6) +
(XLOOKUP(L34, ACP_Norm_Red!A:A, ACP_Norm_Red!F:F, "")*$B$7) +
(XLOOKUP(L34, ACP_Norm_Red!A:A, ACP_Norm_Red!G:G, "")*$B$8) +
(XLOOKUP(L34, ACP_Norm_Red!A:A, ACP_Norm_Red!H:H, "")*$B$9)</f>
        <v>1.541982454</v>
      </c>
      <c r="N34" s="3">
        <f t="array" ref="N34">(XLOOKUP(L34, ACP_Norm_Red!A:A, ACP_Norm_Red!B:B, "")*$C$3) + 
(XLOOKUP(L34, ACP_Norm_Red!A:A, ACP_Norm_Red!C:C, "")*$C$4) + 
(XLOOKUP(L34, ACP_Norm_Red!A:A, ACP_Norm_Red!D:D, "")*$C$5) +
(XLOOKUP(L34, ACP_Norm_Red!A:A, ACP_Norm_Red!E:E, "")*$C$6) +
(XLOOKUP(L34, ACP_Norm_Red!A:A, ACP_Norm_Red!F:F, "")*$C$7) +
(XLOOKUP(L34, ACP_Norm_Red!A:A, ACP_Norm_Red!G:G, "")*$C$8) +
(XLOOKUP(L34, ACP_Norm_Red!A:A, ACP_Norm_Red!H:H, "")*$C$9)</f>
        <v>-1.634601764</v>
      </c>
      <c r="O34" s="3">
        <f t="array" ref="O34">(XLOOKUP(L34, ACP_Norm_Red!A:A, ACP_Norm_Red!B:B, "")*$D$3) + 
(XLOOKUP(L34, ACP_Norm_Red!A:A, ACP_Norm_Red!C:C, "")*$D$4) + 
(XLOOKUP(L34, ACP_Norm_Red!A:A, ACP_Norm_Red!D:D, "")*$D$5) +
(XLOOKUP(L34, ACP_Norm_Red!A:A, ACP_Norm_Red!E:E, "")*$D$6) +
(XLOOKUP(L34, ACP_Norm_Red!A:A, ACP_Norm_Red!F:F, "")*$D$7) +
(XLOOKUP(L34, ACP_Norm_Red!A:A, ACP_Norm_Red!G:G, "")*$D$8) +
(XLOOKUP(L34, ACP_Norm_Red!A:A, ACP_Norm_Red!H:H, "")*$D$9)</f>
        <v>-0.3932642605</v>
      </c>
    </row>
    <row r="35">
      <c r="L35" s="15" t="str">
        <f>'Récap'!A108</f>
        <v>6b689d246c11ea35bf66a151aa4d7d83d1e1b11f9f3a3876c5d609048ea310f8</v>
      </c>
      <c r="M35" s="3">
        <f t="array" ref="M35">(XLOOKUP(L35, ACP_Norm_Red!A:A, ACP_Norm_Red!B:B, "")*$B$3) + 
(XLOOKUP(L35, ACP_Norm_Red!A:A, ACP_Norm_Red!C:C, "")*$B$4) + 
(XLOOKUP(L35, ACP_Norm_Red!A:A, ACP_Norm_Red!D:D, "")*$B$5) +
(XLOOKUP(L35, ACP_Norm_Red!A:A, ACP_Norm_Red!E:E, "")*$B$6) +
(XLOOKUP(L35, ACP_Norm_Red!A:A, ACP_Norm_Red!F:F, "")*$B$7) +
(XLOOKUP(L35, ACP_Norm_Red!A:A, ACP_Norm_Red!G:G, "")*$B$8) +
(XLOOKUP(L35, ACP_Norm_Red!A:A, ACP_Norm_Red!H:H, "")*$B$9)</f>
        <v>0.6238673581</v>
      </c>
      <c r="N35" s="3">
        <f t="array" ref="N35">(XLOOKUP(L35, ACP_Norm_Red!A:A, ACP_Norm_Red!B:B, "")*$C$3) + 
(XLOOKUP(L35, ACP_Norm_Red!A:A, ACP_Norm_Red!C:C, "")*$C$4) + 
(XLOOKUP(L35, ACP_Norm_Red!A:A, ACP_Norm_Red!D:D, "")*$C$5) +
(XLOOKUP(L35, ACP_Norm_Red!A:A, ACP_Norm_Red!E:E, "")*$C$6) +
(XLOOKUP(L35, ACP_Norm_Red!A:A, ACP_Norm_Red!F:F, "")*$C$7) +
(XLOOKUP(L35, ACP_Norm_Red!A:A, ACP_Norm_Red!G:G, "")*$C$8) +
(XLOOKUP(L35, ACP_Norm_Red!A:A, ACP_Norm_Red!H:H, "")*$C$9)</f>
        <v>-0.1467103238</v>
      </c>
      <c r="O35" s="3">
        <f t="array" ref="O35">(XLOOKUP(L35, ACP_Norm_Red!A:A, ACP_Norm_Red!B:B, "")*$D$3) + 
(XLOOKUP(L35, ACP_Norm_Red!A:A, ACP_Norm_Red!C:C, "")*$D$4) + 
(XLOOKUP(L35, ACP_Norm_Red!A:A, ACP_Norm_Red!D:D, "")*$D$5) +
(XLOOKUP(L35, ACP_Norm_Red!A:A, ACP_Norm_Red!E:E, "")*$D$6) +
(XLOOKUP(L35, ACP_Norm_Red!A:A, ACP_Norm_Red!F:F, "")*$D$7) +
(XLOOKUP(L35, ACP_Norm_Red!A:A, ACP_Norm_Red!G:G, "")*$D$8) +
(XLOOKUP(L35, ACP_Norm_Red!A:A, ACP_Norm_Red!H:H, "")*$D$9)</f>
        <v>0.1507564351</v>
      </c>
    </row>
    <row r="36">
      <c r="L36" s="15" t="str">
        <f>'Récap'!A55</f>
        <v>6b6e8c7036722d03a34126403e7106d3512a2d4b72bcd8bde651614e8ad42d7b</v>
      </c>
      <c r="M36" s="3">
        <f t="array" ref="M36">(XLOOKUP(L36, ACP_Norm_Red!A:A, ACP_Norm_Red!B:B, "")*$B$3) + 
(XLOOKUP(L36, ACP_Norm_Red!A:A, ACP_Norm_Red!C:C, "")*$B$4) + 
(XLOOKUP(L36, ACP_Norm_Red!A:A, ACP_Norm_Red!D:D, "")*$B$5) +
(XLOOKUP(L36, ACP_Norm_Red!A:A, ACP_Norm_Red!E:E, "")*$B$6) +
(XLOOKUP(L36, ACP_Norm_Red!A:A, ACP_Norm_Red!F:F, "")*$B$7) +
(XLOOKUP(L36, ACP_Norm_Red!A:A, ACP_Norm_Red!G:G, "")*$B$8) +
(XLOOKUP(L36, ACP_Norm_Red!A:A, ACP_Norm_Red!H:H, "")*$B$9)</f>
        <v>1.361810684</v>
      </c>
      <c r="N36" s="3">
        <f t="array" ref="N36">(XLOOKUP(L36, ACP_Norm_Red!A:A, ACP_Norm_Red!B:B, "")*$C$3) + 
(XLOOKUP(L36, ACP_Norm_Red!A:A, ACP_Norm_Red!C:C, "")*$C$4) + 
(XLOOKUP(L36, ACP_Norm_Red!A:A, ACP_Norm_Red!D:D, "")*$C$5) +
(XLOOKUP(L36, ACP_Norm_Red!A:A, ACP_Norm_Red!E:E, "")*$C$6) +
(XLOOKUP(L36, ACP_Norm_Red!A:A, ACP_Norm_Red!F:F, "")*$C$7) +
(XLOOKUP(L36, ACP_Norm_Red!A:A, ACP_Norm_Red!G:G, "")*$C$8) +
(XLOOKUP(L36, ACP_Norm_Red!A:A, ACP_Norm_Red!H:H, "")*$C$9)</f>
        <v>0.1738217405</v>
      </c>
      <c r="O36" s="3">
        <f t="array" ref="O36">(XLOOKUP(L36, ACP_Norm_Red!A:A, ACP_Norm_Red!B:B, "")*$D$3) + 
(XLOOKUP(L36, ACP_Norm_Red!A:A, ACP_Norm_Red!C:C, "")*$D$4) + 
(XLOOKUP(L36, ACP_Norm_Red!A:A, ACP_Norm_Red!D:D, "")*$D$5) +
(XLOOKUP(L36, ACP_Norm_Red!A:A, ACP_Norm_Red!E:E, "")*$D$6) +
(XLOOKUP(L36, ACP_Norm_Red!A:A, ACP_Norm_Red!F:F, "")*$D$7) +
(XLOOKUP(L36, ACP_Norm_Red!A:A, ACP_Norm_Red!G:G, "")*$D$8) +
(XLOOKUP(L36, ACP_Norm_Red!A:A, ACP_Norm_Red!H:H, "")*$D$9)</f>
        <v>0.7845437951</v>
      </c>
    </row>
    <row r="37">
      <c r="L37" s="15" t="str">
        <f>'Récap'!A20</f>
        <v>109c6e9ad83923fec425f5948621a620bad8efb25d507dbead8bcfa627bc55e6</v>
      </c>
      <c r="M37" s="3">
        <f t="array" ref="M37">(XLOOKUP(L37, ACP_Norm_Red!A:A, ACP_Norm_Red!B:B, "")*$B$3) + 
(XLOOKUP(L37, ACP_Norm_Red!A:A, ACP_Norm_Red!C:C, "")*$B$4) + 
(XLOOKUP(L37, ACP_Norm_Red!A:A, ACP_Norm_Red!D:D, "")*$B$5) +
(XLOOKUP(L37, ACP_Norm_Red!A:A, ACP_Norm_Red!E:E, "")*$B$6) +
(XLOOKUP(L37, ACP_Norm_Red!A:A, ACP_Norm_Red!F:F, "")*$B$7) +
(XLOOKUP(L37, ACP_Norm_Red!A:A, ACP_Norm_Red!G:G, "")*$B$8) +
(XLOOKUP(L37, ACP_Norm_Red!A:A, ACP_Norm_Red!H:H, "")*$B$9)</f>
        <v>1.836463916</v>
      </c>
      <c r="N37" s="3">
        <f t="array" ref="N37">(XLOOKUP(L37, ACP_Norm_Red!A:A, ACP_Norm_Red!B:B, "")*$C$3) + 
(XLOOKUP(L37, ACP_Norm_Red!A:A, ACP_Norm_Red!C:C, "")*$C$4) + 
(XLOOKUP(L37, ACP_Norm_Red!A:A, ACP_Norm_Red!D:D, "")*$C$5) +
(XLOOKUP(L37, ACP_Norm_Red!A:A, ACP_Norm_Red!E:E, "")*$C$6) +
(XLOOKUP(L37, ACP_Norm_Red!A:A, ACP_Norm_Red!F:F, "")*$C$7) +
(XLOOKUP(L37, ACP_Norm_Red!A:A, ACP_Norm_Red!G:G, "")*$C$8) +
(XLOOKUP(L37, ACP_Norm_Red!A:A, ACP_Norm_Red!H:H, "")*$C$9)</f>
        <v>-1.647133929</v>
      </c>
      <c r="O37" s="3">
        <f t="array" ref="O37">(XLOOKUP(L37, ACP_Norm_Red!A:A, ACP_Norm_Red!B:B, "")*$D$3) + 
(XLOOKUP(L37, ACP_Norm_Red!A:A, ACP_Norm_Red!C:C, "")*$D$4) + 
(XLOOKUP(L37, ACP_Norm_Red!A:A, ACP_Norm_Red!D:D, "")*$D$5) +
(XLOOKUP(L37, ACP_Norm_Red!A:A, ACP_Norm_Red!E:E, "")*$D$6) +
(XLOOKUP(L37, ACP_Norm_Red!A:A, ACP_Norm_Red!F:F, "")*$D$7) +
(XLOOKUP(L37, ACP_Norm_Red!A:A, ACP_Norm_Red!G:G, "")*$D$8) +
(XLOOKUP(L37, ACP_Norm_Red!A:A, ACP_Norm_Red!H:H, "")*$D$9)</f>
        <v>-0.6865967112</v>
      </c>
    </row>
    <row r="38">
      <c r="L38" s="15" t="str">
        <f>'Récap'!A60</f>
        <v>23e416c6f9deb987ac8f8f136e8551133ba63c734122e2f82eaeec72b03bad9e</v>
      </c>
      <c r="M38" s="3">
        <f t="array" ref="M38">(XLOOKUP(L38, ACP_Norm_Red!A:A, ACP_Norm_Red!B:B, "")*$B$3) + 
(XLOOKUP(L38, ACP_Norm_Red!A:A, ACP_Norm_Red!C:C, "")*$B$4) + 
(XLOOKUP(L38, ACP_Norm_Red!A:A, ACP_Norm_Red!D:D, "")*$B$5) +
(XLOOKUP(L38, ACP_Norm_Red!A:A, ACP_Norm_Red!E:E, "")*$B$6) +
(XLOOKUP(L38, ACP_Norm_Red!A:A, ACP_Norm_Red!F:F, "")*$B$7) +
(XLOOKUP(L38, ACP_Norm_Red!A:A, ACP_Norm_Red!G:G, "")*$B$8) +
(XLOOKUP(L38, ACP_Norm_Red!A:A, ACP_Norm_Red!H:H, "")*$B$9)</f>
        <v>-0.9093324483</v>
      </c>
      <c r="N38" s="3">
        <f t="array" ref="N38">(XLOOKUP(L38, ACP_Norm_Red!A:A, ACP_Norm_Red!B:B, "")*$C$3) + 
(XLOOKUP(L38, ACP_Norm_Red!A:A, ACP_Norm_Red!C:C, "")*$C$4) + 
(XLOOKUP(L38, ACP_Norm_Red!A:A, ACP_Norm_Red!D:D, "")*$C$5) +
(XLOOKUP(L38, ACP_Norm_Red!A:A, ACP_Norm_Red!E:E, "")*$C$6) +
(XLOOKUP(L38, ACP_Norm_Red!A:A, ACP_Norm_Red!F:F, "")*$C$7) +
(XLOOKUP(L38, ACP_Norm_Red!A:A, ACP_Norm_Red!G:G, "")*$C$8) +
(XLOOKUP(L38, ACP_Norm_Red!A:A, ACP_Norm_Red!H:H, "")*$C$9)</f>
        <v>0.03395814682</v>
      </c>
      <c r="O38" s="3">
        <f t="array" ref="O38">(XLOOKUP(L38, ACP_Norm_Red!A:A, ACP_Norm_Red!B:B, "")*$D$3) + 
(XLOOKUP(L38, ACP_Norm_Red!A:A, ACP_Norm_Red!C:C, "")*$D$4) + 
(XLOOKUP(L38, ACP_Norm_Red!A:A, ACP_Norm_Red!D:D, "")*$D$5) +
(XLOOKUP(L38, ACP_Norm_Red!A:A, ACP_Norm_Red!E:E, "")*$D$6) +
(XLOOKUP(L38, ACP_Norm_Red!A:A, ACP_Norm_Red!F:F, "")*$D$7) +
(XLOOKUP(L38, ACP_Norm_Red!A:A, ACP_Norm_Red!G:G, "")*$D$8) +
(XLOOKUP(L38, ACP_Norm_Red!A:A, ACP_Norm_Red!H:H, "")*$D$9)</f>
        <v>-1.809822803</v>
      </c>
    </row>
    <row r="39">
      <c r="L39" s="15" t="str">
        <f>'Récap'!A72</f>
        <v>e4380b18857e28837873b807b4ee2bee2e199a3536f56fb56fb5949de4c17a77</v>
      </c>
      <c r="M39" s="3">
        <f t="array" ref="M39">(XLOOKUP(L39, ACP_Norm_Red!A:A, ACP_Norm_Red!B:B, "")*$B$3) + 
(XLOOKUP(L39, ACP_Norm_Red!A:A, ACP_Norm_Red!C:C, "")*$B$4) + 
(XLOOKUP(L39, ACP_Norm_Red!A:A, ACP_Norm_Red!D:D, "")*$B$5) +
(XLOOKUP(L39, ACP_Norm_Red!A:A, ACP_Norm_Red!E:E, "")*$B$6) +
(XLOOKUP(L39, ACP_Norm_Red!A:A, ACP_Norm_Red!F:F, "")*$B$7) +
(XLOOKUP(L39, ACP_Norm_Red!A:A, ACP_Norm_Red!G:G, "")*$B$8) +
(XLOOKUP(L39, ACP_Norm_Red!A:A, ACP_Norm_Red!H:H, "")*$B$9)</f>
        <v>-1.579886644</v>
      </c>
      <c r="N39" s="3">
        <f t="array" ref="N39">(XLOOKUP(L39, ACP_Norm_Red!A:A, ACP_Norm_Red!B:B, "")*$C$3) + 
(XLOOKUP(L39, ACP_Norm_Red!A:A, ACP_Norm_Red!C:C, "")*$C$4) + 
(XLOOKUP(L39, ACP_Norm_Red!A:A, ACP_Norm_Red!D:D, "")*$C$5) +
(XLOOKUP(L39, ACP_Norm_Red!A:A, ACP_Norm_Red!E:E, "")*$C$6) +
(XLOOKUP(L39, ACP_Norm_Red!A:A, ACP_Norm_Red!F:F, "")*$C$7) +
(XLOOKUP(L39, ACP_Norm_Red!A:A, ACP_Norm_Red!G:G, "")*$C$8) +
(XLOOKUP(L39, ACP_Norm_Red!A:A, ACP_Norm_Red!H:H, "")*$C$9)</f>
        <v>-0.9686800718</v>
      </c>
      <c r="O39" s="3">
        <f t="array" ref="O39">(XLOOKUP(L39, ACP_Norm_Red!A:A, ACP_Norm_Red!B:B, "")*$D$3) + 
(XLOOKUP(L39, ACP_Norm_Red!A:A, ACP_Norm_Red!C:C, "")*$D$4) + 
(XLOOKUP(L39, ACP_Norm_Red!A:A, ACP_Norm_Red!D:D, "")*$D$5) +
(XLOOKUP(L39, ACP_Norm_Red!A:A, ACP_Norm_Red!E:E, "")*$D$6) +
(XLOOKUP(L39, ACP_Norm_Red!A:A, ACP_Norm_Red!F:F, "")*$D$7) +
(XLOOKUP(L39, ACP_Norm_Red!A:A, ACP_Norm_Red!G:G, "")*$D$8) +
(XLOOKUP(L39, ACP_Norm_Red!A:A, ACP_Norm_Red!H:H, "")*$D$9)</f>
        <v>0.7270772381</v>
      </c>
    </row>
    <row r="40">
      <c r="L40" s="15" t="str">
        <f>'Récap'!A49</f>
        <v>f8461dec16e4e6cc62d1cadd424373bdf634bdc01764d3df74cd9fff9658baff</v>
      </c>
      <c r="M40" s="3">
        <f t="array" ref="M40">(XLOOKUP(L40, ACP_Norm_Red!A:A, ACP_Norm_Red!B:B, "")*$B$3) + 
(XLOOKUP(L40, ACP_Norm_Red!A:A, ACP_Norm_Red!C:C, "")*$B$4) + 
(XLOOKUP(L40, ACP_Norm_Red!A:A, ACP_Norm_Red!D:D, "")*$B$5) +
(XLOOKUP(L40, ACP_Norm_Red!A:A, ACP_Norm_Red!E:E, "")*$B$6) +
(XLOOKUP(L40, ACP_Norm_Red!A:A, ACP_Norm_Red!F:F, "")*$B$7) +
(XLOOKUP(L40, ACP_Norm_Red!A:A, ACP_Norm_Red!G:G, "")*$B$8) +
(XLOOKUP(L40, ACP_Norm_Red!A:A, ACP_Norm_Red!H:H, "")*$B$9)</f>
        <v>-1.451832897</v>
      </c>
      <c r="N40" s="3">
        <f t="array" ref="N40">(XLOOKUP(L40, ACP_Norm_Red!A:A, ACP_Norm_Red!B:B, "")*$C$3) + 
(XLOOKUP(L40, ACP_Norm_Red!A:A, ACP_Norm_Red!C:C, "")*$C$4) + 
(XLOOKUP(L40, ACP_Norm_Red!A:A, ACP_Norm_Red!D:D, "")*$C$5) +
(XLOOKUP(L40, ACP_Norm_Red!A:A, ACP_Norm_Red!E:E, "")*$C$6) +
(XLOOKUP(L40, ACP_Norm_Red!A:A, ACP_Norm_Red!F:F, "")*$C$7) +
(XLOOKUP(L40, ACP_Norm_Red!A:A, ACP_Norm_Red!G:G, "")*$C$8) +
(XLOOKUP(L40, ACP_Norm_Red!A:A, ACP_Norm_Red!H:H, "")*$C$9)</f>
        <v>-0.7527107629</v>
      </c>
      <c r="O40" s="3">
        <f t="array" ref="O40">(XLOOKUP(L40, ACP_Norm_Red!A:A, ACP_Norm_Red!B:B, "")*$D$3) + 
(XLOOKUP(L40, ACP_Norm_Red!A:A, ACP_Norm_Red!C:C, "")*$D$4) + 
(XLOOKUP(L40, ACP_Norm_Red!A:A, ACP_Norm_Red!D:D, "")*$D$5) +
(XLOOKUP(L40, ACP_Norm_Red!A:A, ACP_Norm_Red!E:E, "")*$D$6) +
(XLOOKUP(L40, ACP_Norm_Red!A:A, ACP_Norm_Red!F:F, "")*$D$7) +
(XLOOKUP(L40, ACP_Norm_Red!A:A, ACP_Norm_Red!G:G, "")*$D$8) +
(XLOOKUP(L40, ACP_Norm_Red!A:A, ACP_Norm_Red!H:H, "")*$D$9)</f>
        <v>-1.434699785</v>
      </c>
    </row>
    <row r="41">
      <c r="L41" s="15" t="str">
        <f>'Récap'!A25</f>
        <v>fcf731e2be9a1377e7aed9c84be49e59ff2b3595fd86235d37d58011462b8fcf</v>
      </c>
      <c r="M41" s="3">
        <f t="array" ref="M41">(XLOOKUP(L41, ACP_Norm_Red!A:A, ACP_Norm_Red!B:B, "")*$B$3) + 
(XLOOKUP(L41, ACP_Norm_Red!A:A, ACP_Norm_Red!C:C, "")*$B$4) + 
(XLOOKUP(L41, ACP_Norm_Red!A:A, ACP_Norm_Red!D:D, "")*$B$5) +
(XLOOKUP(L41, ACP_Norm_Red!A:A, ACP_Norm_Red!E:E, "")*$B$6) +
(XLOOKUP(L41, ACP_Norm_Red!A:A, ACP_Norm_Red!F:F, "")*$B$7) +
(XLOOKUP(L41, ACP_Norm_Red!A:A, ACP_Norm_Red!G:G, "")*$B$8) +
(XLOOKUP(L41, ACP_Norm_Red!A:A, ACP_Norm_Red!H:H, "")*$B$9)</f>
        <v>-3.429988528</v>
      </c>
      <c r="N41" s="3">
        <f t="array" ref="N41">(XLOOKUP(L41, ACP_Norm_Red!A:A, ACP_Norm_Red!B:B, "")*$C$3) + 
(XLOOKUP(L41, ACP_Norm_Red!A:A, ACP_Norm_Red!C:C, "")*$C$4) + 
(XLOOKUP(L41, ACP_Norm_Red!A:A, ACP_Norm_Red!D:D, "")*$C$5) +
(XLOOKUP(L41, ACP_Norm_Red!A:A, ACP_Norm_Red!E:E, "")*$C$6) +
(XLOOKUP(L41, ACP_Norm_Red!A:A, ACP_Norm_Red!F:F, "")*$C$7) +
(XLOOKUP(L41, ACP_Norm_Red!A:A, ACP_Norm_Red!G:G, "")*$C$8) +
(XLOOKUP(L41, ACP_Norm_Red!A:A, ACP_Norm_Red!H:H, "")*$C$9)</f>
        <v>0.8203879915</v>
      </c>
      <c r="O41" s="3">
        <f t="array" ref="O41">(XLOOKUP(L41, ACP_Norm_Red!A:A, ACP_Norm_Red!B:B, "")*$D$3) + 
(XLOOKUP(L41, ACP_Norm_Red!A:A, ACP_Norm_Red!C:C, "")*$D$4) + 
(XLOOKUP(L41, ACP_Norm_Red!A:A, ACP_Norm_Red!D:D, "")*$D$5) +
(XLOOKUP(L41, ACP_Norm_Red!A:A, ACP_Norm_Red!E:E, "")*$D$6) +
(XLOOKUP(L41, ACP_Norm_Red!A:A, ACP_Norm_Red!F:F, "")*$D$7) +
(XLOOKUP(L41, ACP_Norm_Red!A:A, ACP_Norm_Red!G:G, "")*$D$8) +
(XLOOKUP(L41, ACP_Norm_Red!A:A, ACP_Norm_Red!H:H, "")*$D$9)</f>
        <v>0.3227907355</v>
      </c>
    </row>
    <row r="42">
      <c r="L42" s="15" t="str">
        <f>'Récap'!A41</f>
        <v>53b87d41de61b0eb5ef6562222f1f3bcd5b5ce1da053e57f47b6ed23d7aa8502</v>
      </c>
      <c r="M42" s="3">
        <f t="array" ref="M42">(XLOOKUP(L42, ACP_Norm_Red!A:A, ACP_Norm_Red!B:B, "")*$B$3) + 
(XLOOKUP(L42, ACP_Norm_Red!A:A, ACP_Norm_Red!C:C, "")*$B$4) + 
(XLOOKUP(L42, ACP_Norm_Red!A:A, ACP_Norm_Red!D:D, "")*$B$5) +
(XLOOKUP(L42, ACP_Norm_Red!A:A, ACP_Norm_Red!E:E, "")*$B$6) +
(XLOOKUP(L42, ACP_Norm_Red!A:A, ACP_Norm_Red!F:F, "")*$B$7) +
(XLOOKUP(L42, ACP_Norm_Red!A:A, ACP_Norm_Red!G:G, "")*$B$8) +
(XLOOKUP(L42, ACP_Norm_Red!A:A, ACP_Norm_Red!H:H, "")*$B$9)</f>
        <v>-0.9442839193</v>
      </c>
      <c r="N42" s="3">
        <f t="array" ref="N42">(XLOOKUP(L42, ACP_Norm_Red!A:A, ACP_Norm_Red!B:B, "")*$C$3) + 
(XLOOKUP(L42, ACP_Norm_Red!A:A, ACP_Norm_Red!C:C, "")*$C$4) + 
(XLOOKUP(L42, ACP_Norm_Red!A:A, ACP_Norm_Red!D:D, "")*$C$5) +
(XLOOKUP(L42, ACP_Norm_Red!A:A, ACP_Norm_Red!E:E, "")*$C$6) +
(XLOOKUP(L42, ACP_Norm_Red!A:A, ACP_Norm_Red!F:F, "")*$C$7) +
(XLOOKUP(L42, ACP_Norm_Red!A:A, ACP_Norm_Red!G:G, "")*$C$8) +
(XLOOKUP(L42, ACP_Norm_Red!A:A, ACP_Norm_Red!H:H, "")*$C$9)</f>
        <v>0.2234602948</v>
      </c>
      <c r="O42" s="3">
        <f t="array" ref="O42">(XLOOKUP(L42, ACP_Norm_Red!A:A, ACP_Norm_Red!B:B, "")*$D$3) + 
(XLOOKUP(L42, ACP_Norm_Red!A:A, ACP_Norm_Red!C:C, "")*$D$4) + 
(XLOOKUP(L42, ACP_Norm_Red!A:A, ACP_Norm_Red!D:D, "")*$D$5) +
(XLOOKUP(L42, ACP_Norm_Red!A:A, ACP_Norm_Red!E:E, "")*$D$6) +
(XLOOKUP(L42, ACP_Norm_Red!A:A, ACP_Norm_Red!F:F, "")*$D$7) +
(XLOOKUP(L42, ACP_Norm_Red!A:A, ACP_Norm_Red!G:G, "")*$D$8) +
(XLOOKUP(L42, ACP_Norm_Red!A:A, ACP_Norm_Red!H:H, "")*$D$9)</f>
        <v>-4.267217166</v>
      </c>
    </row>
    <row r="43">
      <c r="L43" s="15" t="str">
        <f>'Récap'!A97</f>
        <v>d46637522853433efdf1806e2e5336c312d5ba0ff0a32b80468e96b8abf11c04</v>
      </c>
      <c r="M43" s="3">
        <f t="array" ref="M43">(XLOOKUP(L43, ACP_Norm_Red!A:A, ACP_Norm_Red!B:B, "")*$B$3) + 
(XLOOKUP(L43, ACP_Norm_Red!A:A, ACP_Norm_Red!C:C, "")*$B$4) + 
(XLOOKUP(L43, ACP_Norm_Red!A:A, ACP_Norm_Red!D:D, "")*$B$5) +
(XLOOKUP(L43, ACP_Norm_Red!A:A, ACP_Norm_Red!E:E, "")*$B$6) +
(XLOOKUP(L43, ACP_Norm_Red!A:A, ACP_Norm_Red!F:F, "")*$B$7) +
(XLOOKUP(L43, ACP_Norm_Red!A:A, ACP_Norm_Red!G:G, "")*$B$8) +
(XLOOKUP(L43, ACP_Norm_Red!A:A, ACP_Norm_Red!H:H, "")*$B$9)</f>
        <v>-0.799134568</v>
      </c>
      <c r="N43" s="3">
        <f t="array" ref="N43">(XLOOKUP(L43, ACP_Norm_Red!A:A, ACP_Norm_Red!B:B, "")*$C$3) + 
(XLOOKUP(L43, ACP_Norm_Red!A:A, ACP_Norm_Red!C:C, "")*$C$4) + 
(XLOOKUP(L43, ACP_Norm_Red!A:A, ACP_Norm_Red!D:D, "")*$C$5) +
(XLOOKUP(L43, ACP_Norm_Red!A:A, ACP_Norm_Red!E:E, "")*$C$6) +
(XLOOKUP(L43, ACP_Norm_Red!A:A, ACP_Norm_Red!F:F, "")*$C$7) +
(XLOOKUP(L43, ACP_Norm_Red!A:A, ACP_Norm_Red!G:G, "")*$C$8) +
(XLOOKUP(L43, ACP_Norm_Red!A:A, ACP_Norm_Red!H:H, "")*$C$9)</f>
        <v>1.944907161</v>
      </c>
      <c r="O43" s="3">
        <f t="array" ref="O43">(XLOOKUP(L43, ACP_Norm_Red!A:A, ACP_Norm_Red!B:B, "")*$D$3) + 
(XLOOKUP(L43, ACP_Norm_Red!A:A, ACP_Norm_Red!C:C, "")*$D$4) + 
(XLOOKUP(L43, ACP_Norm_Red!A:A, ACP_Norm_Red!D:D, "")*$D$5) +
(XLOOKUP(L43, ACP_Norm_Red!A:A, ACP_Norm_Red!E:E, "")*$D$6) +
(XLOOKUP(L43, ACP_Norm_Red!A:A, ACP_Norm_Red!F:F, "")*$D$7) +
(XLOOKUP(L43, ACP_Norm_Red!A:A, ACP_Norm_Red!G:G, "")*$D$8) +
(XLOOKUP(L43, ACP_Norm_Red!A:A, ACP_Norm_Red!H:H, "")*$D$9)</f>
        <v>-1.029007474</v>
      </c>
    </row>
    <row r="44">
      <c r="L44" s="15" t="str">
        <f>'Récap'!A96</f>
        <v>40c1d250c97702986524dae1c4014dbac4abddab4fbfd395737f4e2fe64a247d</v>
      </c>
      <c r="M44" s="3">
        <f t="array" ref="M44">(XLOOKUP(L44, ACP_Norm_Red!A:A, ACP_Norm_Red!B:B, "")*$B$3) + 
(XLOOKUP(L44, ACP_Norm_Red!A:A, ACP_Norm_Red!C:C, "")*$B$4) + 
(XLOOKUP(L44, ACP_Norm_Red!A:A, ACP_Norm_Red!D:D, "")*$B$5) +
(XLOOKUP(L44, ACP_Norm_Red!A:A, ACP_Norm_Red!E:E, "")*$B$6) +
(XLOOKUP(L44, ACP_Norm_Red!A:A, ACP_Norm_Red!F:F, "")*$B$7) +
(XLOOKUP(L44, ACP_Norm_Red!A:A, ACP_Norm_Red!G:G, "")*$B$8) +
(XLOOKUP(L44, ACP_Norm_Red!A:A, ACP_Norm_Red!H:H, "")*$B$9)</f>
        <v>0.9355324767</v>
      </c>
      <c r="N44" s="3">
        <f t="array" ref="N44">(XLOOKUP(L44, ACP_Norm_Red!A:A, ACP_Norm_Red!B:B, "")*$C$3) + 
(XLOOKUP(L44, ACP_Norm_Red!A:A, ACP_Norm_Red!C:C, "")*$C$4) + 
(XLOOKUP(L44, ACP_Norm_Red!A:A, ACP_Norm_Red!D:D, "")*$C$5) +
(XLOOKUP(L44, ACP_Norm_Red!A:A, ACP_Norm_Red!E:E, "")*$C$6) +
(XLOOKUP(L44, ACP_Norm_Red!A:A, ACP_Norm_Red!F:F, "")*$C$7) +
(XLOOKUP(L44, ACP_Norm_Red!A:A, ACP_Norm_Red!G:G, "")*$C$8) +
(XLOOKUP(L44, ACP_Norm_Red!A:A, ACP_Norm_Red!H:H, "")*$C$9)</f>
        <v>-0.4130188556</v>
      </c>
      <c r="O44" s="3">
        <f t="array" ref="O44">(XLOOKUP(L44, ACP_Norm_Red!A:A, ACP_Norm_Red!B:B, "")*$D$3) + 
(XLOOKUP(L44, ACP_Norm_Red!A:A, ACP_Norm_Red!C:C, "")*$D$4) + 
(XLOOKUP(L44, ACP_Norm_Red!A:A, ACP_Norm_Red!D:D, "")*$D$5) +
(XLOOKUP(L44, ACP_Norm_Red!A:A, ACP_Norm_Red!E:E, "")*$D$6) +
(XLOOKUP(L44, ACP_Norm_Red!A:A, ACP_Norm_Red!F:F, "")*$D$7) +
(XLOOKUP(L44, ACP_Norm_Red!A:A, ACP_Norm_Red!G:G, "")*$D$8) +
(XLOOKUP(L44, ACP_Norm_Red!A:A, ACP_Norm_Red!H:H, "")*$D$9)</f>
        <v>-1.722736294</v>
      </c>
    </row>
    <row r="45">
      <c r="L45" s="15" t="str">
        <f>'Récap'!A69</f>
        <v>22d436278c2d2678362e2b3102b5bfa9227eecad30f599801b730e0cc7acd1c6</v>
      </c>
      <c r="M45" s="3">
        <f t="array" ref="M45">(XLOOKUP(L45, ACP_Norm_Red!A:A, ACP_Norm_Red!B:B, "")*$B$3) + 
(XLOOKUP(L45, ACP_Norm_Red!A:A, ACP_Norm_Red!C:C, "")*$B$4) + 
(XLOOKUP(L45, ACP_Norm_Red!A:A, ACP_Norm_Red!D:D, "")*$B$5) +
(XLOOKUP(L45, ACP_Norm_Red!A:A, ACP_Norm_Red!E:E, "")*$B$6) +
(XLOOKUP(L45, ACP_Norm_Red!A:A, ACP_Norm_Red!F:F, "")*$B$7) +
(XLOOKUP(L45, ACP_Norm_Red!A:A, ACP_Norm_Red!G:G, "")*$B$8) +
(XLOOKUP(L45, ACP_Norm_Red!A:A, ACP_Norm_Red!H:H, "")*$B$9)</f>
        <v>2.453701457</v>
      </c>
      <c r="N45" s="3">
        <f t="array" ref="N45">(XLOOKUP(L45, ACP_Norm_Red!A:A, ACP_Norm_Red!B:B, "")*$C$3) + 
(XLOOKUP(L45, ACP_Norm_Red!A:A, ACP_Norm_Red!C:C, "")*$C$4) + 
(XLOOKUP(L45, ACP_Norm_Red!A:A, ACP_Norm_Red!D:D, "")*$C$5) +
(XLOOKUP(L45, ACP_Norm_Red!A:A, ACP_Norm_Red!E:E, "")*$C$6) +
(XLOOKUP(L45, ACP_Norm_Red!A:A, ACP_Norm_Red!F:F, "")*$C$7) +
(XLOOKUP(L45, ACP_Norm_Red!A:A, ACP_Norm_Red!G:G, "")*$C$8) +
(XLOOKUP(L45, ACP_Norm_Red!A:A, ACP_Norm_Red!H:H, "")*$C$9)</f>
        <v>2.852908884</v>
      </c>
      <c r="O45" s="3">
        <f t="array" ref="O45">(XLOOKUP(L45, ACP_Norm_Red!A:A, ACP_Norm_Red!B:B, "")*$D$3) + 
(XLOOKUP(L45, ACP_Norm_Red!A:A, ACP_Norm_Red!C:C, "")*$D$4) + 
(XLOOKUP(L45, ACP_Norm_Red!A:A, ACP_Norm_Red!D:D, "")*$D$5) +
(XLOOKUP(L45, ACP_Norm_Red!A:A, ACP_Norm_Red!E:E, "")*$D$6) +
(XLOOKUP(L45, ACP_Norm_Red!A:A, ACP_Norm_Red!F:F, "")*$D$7) +
(XLOOKUP(L45, ACP_Norm_Red!A:A, ACP_Norm_Red!G:G, "")*$D$8) +
(XLOOKUP(L45, ACP_Norm_Red!A:A, ACP_Norm_Red!H:H, "")*$D$9)</f>
        <v>-0.02166393657</v>
      </c>
    </row>
    <row r="46">
      <c r="L46" s="15" t="str">
        <f>'Récap'!A5</f>
        <v>c547e37e3c5d2add9a3cb5fdeecfbc779e0ee9d6a7dbb489c799cc94e7b9abd2</v>
      </c>
      <c r="M46" s="3">
        <f t="array" ref="M46">(XLOOKUP(L46, ACP_Norm_Red!A:A, ACP_Norm_Red!B:B, "")*$B$3) + 
(XLOOKUP(L46, ACP_Norm_Red!A:A, ACP_Norm_Red!C:C, "")*$B$4) + 
(XLOOKUP(L46, ACP_Norm_Red!A:A, ACP_Norm_Red!D:D, "")*$B$5) +
(XLOOKUP(L46, ACP_Norm_Red!A:A, ACP_Norm_Red!E:E, "")*$B$6) +
(XLOOKUP(L46, ACP_Norm_Red!A:A, ACP_Norm_Red!F:F, "")*$B$7) +
(XLOOKUP(L46, ACP_Norm_Red!A:A, ACP_Norm_Red!G:G, "")*$B$8) +
(XLOOKUP(L46, ACP_Norm_Red!A:A, ACP_Norm_Red!H:H, "")*$B$9)</f>
        <v>-1.906273853</v>
      </c>
      <c r="N46" s="3">
        <f t="array" ref="N46">(XLOOKUP(L46, ACP_Norm_Red!A:A, ACP_Norm_Red!B:B, "")*$C$3) + 
(XLOOKUP(L46, ACP_Norm_Red!A:A, ACP_Norm_Red!C:C, "")*$C$4) + 
(XLOOKUP(L46, ACP_Norm_Red!A:A, ACP_Norm_Red!D:D, "")*$C$5) +
(XLOOKUP(L46, ACP_Norm_Red!A:A, ACP_Norm_Red!E:E, "")*$C$6) +
(XLOOKUP(L46, ACP_Norm_Red!A:A, ACP_Norm_Red!F:F, "")*$C$7) +
(XLOOKUP(L46, ACP_Norm_Red!A:A, ACP_Norm_Red!G:G, "")*$C$8) +
(XLOOKUP(L46, ACP_Norm_Red!A:A, ACP_Norm_Red!H:H, "")*$C$9)</f>
        <v>-0.8241171104</v>
      </c>
      <c r="O46" s="3">
        <f t="array" ref="O46">(XLOOKUP(L46, ACP_Norm_Red!A:A, ACP_Norm_Red!B:B, "")*$D$3) + 
(XLOOKUP(L46, ACP_Norm_Red!A:A, ACP_Norm_Red!C:C, "")*$D$4) + 
(XLOOKUP(L46, ACP_Norm_Red!A:A, ACP_Norm_Red!D:D, "")*$D$5) +
(XLOOKUP(L46, ACP_Norm_Red!A:A, ACP_Norm_Red!E:E, "")*$D$6) +
(XLOOKUP(L46, ACP_Norm_Red!A:A, ACP_Norm_Red!F:F, "")*$D$7) +
(XLOOKUP(L46, ACP_Norm_Red!A:A, ACP_Norm_Red!G:G, "")*$D$8) +
(XLOOKUP(L46, ACP_Norm_Red!A:A, ACP_Norm_Red!H:H, "")*$D$9)</f>
        <v>0.2435864718</v>
      </c>
    </row>
    <row r="47">
      <c r="L47" s="15" t="str">
        <f>'Récap'!A94</f>
        <v>322817f4854f2f71b85db9d2e7c04e4a44c91ea866c689f277a658abc7d22b12</v>
      </c>
      <c r="M47" s="3">
        <f t="array" ref="M47">(XLOOKUP(L47, ACP_Norm_Red!A:A, ACP_Norm_Red!B:B, "")*$B$3) + 
(XLOOKUP(L47, ACP_Norm_Red!A:A, ACP_Norm_Red!C:C, "")*$B$4) + 
(XLOOKUP(L47, ACP_Norm_Red!A:A, ACP_Norm_Red!D:D, "")*$B$5) +
(XLOOKUP(L47, ACP_Norm_Red!A:A, ACP_Norm_Red!E:E, "")*$B$6) +
(XLOOKUP(L47, ACP_Norm_Red!A:A, ACP_Norm_Red!F:F, "")*$B$7) +
(XLOOKUP(L47, ACP_Norm_Red!A:A, ACP_Norm_Red!G:G, "")*$B$8) +
(XLOOKUP(L47, ACP_Norm_Red!A:A, ACP_Norm_Red!H:H, "")*$B$9)</f>
        <v>2.468299486</v>
      </c>
      <c r="N47" s="3">
        <f t="array" ref="N47">(XLOOKUP(L47, ACP_Norm_Red!A:A, ACP_Norm_Red!B:B, "")*$C$3) + 
(XLOOKUP(L47, ACP_Norm_Red!A:A, ACP_Norm_Red!C:C, "")*$C$4) + 
(XLOOKUP(L47, ACP_Norm_Red!A:A, ACP_Norm_Red!D:D, "")*$C$5) +
(XLOOKUP(L47, ACP_Norm_Red!A:A, ACP_Norm_Red!E:E, "")*$C$6) +
(XLOOKUP(L47, ACP_Norm_Red!A:A, ACP_Norm_Red!F:F, "")*$C$7) +
(XLOOKUP(L47, ACP_Norm_Red!A:A, ACP_Norm_Red!G:G, "")*$C$8) +
(XLOOKUP(L47, ACP_Norm_Red!A:A, ACP_Norm_Red!H:H, "")*$C$9)</f>
        <v>0.3193345034</v>
      </c>
      <c r="O47" s="3">
        <f t="array" ref="O47">(XLOOKUP(L47, ACP_Norm_Red!A:A, ACP_Norm_Red!B:B, "")*$D$3) + 
(XLOOKUP(L47, ACP_Norm_Red!A:A, ACP_Norm_Red!C:C, "")*$D$4) + 
(XLOOKUP(L47, ACP_Norm_Red!A:A, ACP_Norm_Red!D:D, "")*$D$5) +
(XLOOKUP(L47, ACP_Norm_Red!A:A, ACP_Norm_Red!E:E, "")*$D$6) +
(XLOOKUP(L47, ACP_Norm_Red!A:A, ACP_Norm_Red!F:F, "")*$D$7) +
(XLOOKUP(L47, ACP_Norm_Red!A:A, ACP_Norm_Red!G:G, "")*$D$8) +
(XLOOKUP(L47, ACP_Norm_Red!A:A, ACP_Norm_Red!H:H, "")*$D$9)</f>
        <v>-0.6290094046</v>
      </c>
    </row>
    <row r="48">
      <c r="L48" s="15" t="str">
        <f>'Récap'!A90</f>
        <v>275839578ec60b5084d5e18fccb01310e9f1b78293cad00bec043945e0f3e629</v>
      </c>
      <c r="M48" s="3">
        <f t="array" ref="M48">(XLOOKUP(L48, ACP_Norm_Red!A:A, ACP_Norm_Red!B:B, "")*$B$3) + 
(XLOOKUP(L48, ACP_Norm_Red!A:A, ACP_Norm_Red!C:C, "")*$B$4) + 
(XLOOKUP(L48, ACP_Norm_Red!A:A, ACP_Norm_Red!D:D, "")*$B$5) +
(XLOOKUP(L48, ACP_Norm_Red!A:A, ACP_Norm_Red!E:E, "")*$B$6) +
(XLOOKUP(L48, ACP_Norm_Red!A:A, ACP_Norm_Red!F:F, "")*$B$7) +
(XLOOKUP(L48, ACP_Norm_Red!A:A, ACP_Norm_Red!G:G, "")*$B$8) +
(XLOOKUP(L48, ACP_Norm_Red!A:A, ACP_Norm_Red!H:H, "")*$B$9)</f>
        <v>2.655104427</v>
      </c>
      <c r="N48" s="3">
        <f t="array" ref="N48">(XLOOKUP(L48, ACP_Norm_Red!A:A, ACP_Norm_Red!B:B, "")*$C$3) + 
(XLOOKUP(L48, ACP_Norm_Red!A:A, ACP_Norm_Red!C:C, "")*$C$4) + 
(XLOOKUP(L48, ACP_Norm_Red!A:A, ACP_Norm_Red!D:D, "")*$C$5) +
(XLOOKUP(L48, ACP_Norm_Red!A:A, ACP_Norm_Red!E:E, "")*$C$6) +
(XLOOKUP(L48, ACP_Norm_Red!A:A, ACP_Norm_Red!F:F, "")*$C$7) +
(XLOOKUP(L48, ACP_Norm_Red!A:A, ACP_Norm_Red!G:G, "")*$C$8) +
(XLOOKUP(L48, ACP_Norm_Red!A:A, ACP_Norm_Red!H:H, "")*$C$9)</f>
        <v>0.3881898236</v>
      </c>
      <c r="O48" s="3">
        <f t="array" ref="O48">(XLOOKUP(L48, ACP_Norm_Red!A:A, ACP_Norm_Red!B:B, "")*$D$3) + 
(XLOOKUP(L48, ACP_Norm_Red!A:A, ACP_Norm_Red!C:C, "")*$D$4) + 
(XLOOKUP(L48, ACP_Norm_Red!A:A, ACP_Norm_Red!D:D, "")*$D$5) +
(XLOOKUP(L48, ACP_Norm_Red!A:A, ACP_Norm_Red!E:E, "")*$D$6) +
(XLOOKUP(L48, ACP_Norm_Red!A:A, ACP_Norm_Red!F:F, "")*$D$7) +
(XLOOKUP(L48, ACP_Norm_Red!A:A, ACP_Norm_Red!G:G, "")*$D$8) +
(XLOOKUP(L48, ACP_Norm_Red!A:A, ACP_Norm_Red!H:H, "")*$D$9)</f>
        <v>-0.3189897119</v>
      </c>
    </row>
    <row r="49">
      <c r="L49" s="15" t="str">
        <f>'Récap'!A17</f>
        <v>bee686e3fcc9f3886386d09a5bbd6f4779d852c8bb282b0b6185be70704d9207</v>
      </c>
      <c r="M49" s="3">
        <f t="array" ref="M49">(XLOOKUP(L49, ACP_Norm_Red!A:A, ACP_Norm_Red!B:B, "")*$B$3) + 
(XLOOKUP(L49, ACP_Norm_Red!A:A, ACP_Norm_Red!C:C, "")*$B$4) + 
(XLOOKUP(L49, ACP_Norm_Red!A:A, ACP_Norm_Red!D:D, "")*$B$5) +
(XLOOKUP(L49, ACP_Norm_Red!A:A, ACP_Norm_Red!E:E, "")*$B$6) +
(XLOOKUP(L49, ACP_Norm_Red!A:A, ACP_Norm_Red!F:F, "")*$B$7) +
(XLOOKUP(L49, ACP_Norm_Red!A:A, ACP_Norm_Red!G:G, "")*$B$8) +
(XLOOKUP(L49, ACP_Norm_Red!A:A, ACP_Norm_Red!H:H, "")*$B$9)</f>
        <v>2.155011665</v>
      </c>
      <c r="N49" s="3">
        <f t="array" ref="N49">(XLOOKUP(L49, ACP_Norm_Red!A:A, ACP_Norm_Red!B:B, "")*$C$3) + 
(XLOOKUP(L49, ACP_Norm_Red!A:A, ACP_Norm_Red!C:C, "")*$C$4) + 
(XLOOKUP(L49, ACP_Norm_Red!A:A, ACP_Norm_Red!D:D, "")*$C$5) +
(XLOOKUP(L49, ACP_Norm_Red!A:A, ACP_Norm_Red!E:E, "")*$C$6) +
(XLOOKUP(L49, ACP_Norm_Red!A:A, ACP_Norm_Red!F:F, "")*$C$7) +
(XLOOKUP(L49, ACP_Norm_Red!A:A, ACP_Norm_Red!G:G, "")*$C$8) +
(XLOOKUP(L49, ACP_Norm_Red!A:A, ACP_Norm_Red!H:H, "")*$C$9)</f>
        <v>-1.813068588</v>
      </c>
      <c r="O49" s="3">
        <f t="array" ref="O49">(XLOOKUP(L49, ACP_Norm_Red!A:A, ACP_Norm_Red!B:B, "")*$D$3) + 
(XLOOKUP(L49, ACP_Norm_Red!A:A, ACP_Norm_Red!C:C, "")*$D$4) + 
(XLOOKUP(L49, ACP_Norm_Red!A:A, ACP_Norm_Red!D:D, "")*$D$5) +
(XLOOKUP(L49, ACP_Norm_Red!A:A, ACP_Norm_Red!E:E, "")*$D$6) +
(XLOOKUP(L49, ACP_Norm_Red!A:A, ACP_Norm_Red!F:F, "")*$D$7) +
(XLOOKUP(L49, ACP_Norm_Red!A:A, ACP_Norm_Red!G:G, "")*$D$8) +
(XLOOKUP(L49, ACP_Norm_Red!A:A, ACP_Norm_Red!H:H, "")*$D$9)</f>
        <v>0.03498518495</v>
      </c>
    </row>
    <row r="50">
      <c r="L50" s="15" t="str">
        <f>'Récap'!A85</f>
        <v>125ae2e6409e498cf96017e4f7168a1612ea2f181a0ea99530cfafb7b3a64807</v>
      </c>
      <c r="M50" s="3">
        <f t="array" ref="M50">(XLOOKUP(L50, ACP_Norm_Red!A:A, ACP_Norm_Red!B:B, "")*$B$3) + 
(XLOOKUP(L50, ACP_Norm_Red!A:A, ACP_Norm_Red!C:C, "")*$B$4) + 
(XLOOKUP(L50, ACP_Norm_Red!A:A, ACP_Norm_Red!D:D, "")*$B$5) +
(XLOOKUP(L50, ACP_Norm_Red!A:A, ACP_Norm_Red!E:E, "")*$B$6) +
(XLOOKUP(L50, ACP_Norm_Red!A:A, ACP_Norm_Red!F:F, "")*$B$7) +
(XLOOKUP(L50, ACP_Norm_Red!A:A, ACP_Norm_Red!G:G, "")*$B$8) +
(XLOOKUP(L50, ACP_Norm_Red!A:A, ACP_Norm_Red!H:H, "")*$B$9)</f>
        <v>-0.9648411171</v>
      </c>
      <c r="N50" s="3">
        <f t="array" ref="N50">(XLOOKUP(L50, ACP_Norm_Red!A:A, ACP_Norm_Red!B:B, "")*$C$3) + 
(XLOOKUP(L50, ACP_Norm_Red!A:A, ACP_Norm_Red!C:C, "")*$C$4) + 
(XLOOKUP(L50, ACP_Norm_Red!A:A, ACP_Norm_Red!D:D, "")*$C$5) +
(XLOOKUP(L50, ACP_Norm_Red!A:A, ACP_Norm_Red!E:E, "")*$C$6) +
(XLOOKUP(L50, ACP_Norm_Red!A:A, ACP_Norm_Red!F:F, "")*$C$7) +
(XLOOKUP(L50, ACP_Norm_Red!A:A, ACP_Norm_Red!G:G, "")*$C$8) +
(XLOOKUP(L50, ACP_Norm_Red!A:A, ACP_Norm_Red!H:H, "")*$C$9)</f>
        <v>0.08017671139</v>
      </c>
      <c r="O50" s="3">
        <f t="array" ref="O50">(XLOOKUP(L50, ACP_Norm_Red!A:A, ACP_Norm_Red!B:B, "")*$D$3) + 
(XLOOKUP(L50, ACP_Norm_Red!A:A, ACP_Norm_Red!C:C, "")*$D$4) + 
(XLOOKUP(L50, ACP_Norm_Red!A:A, ACP_Norm_Red!D:D, "")*$D$5) +
(XLOOKUP(L50, ACP_Norm_Red!A:A, ACP_Norm_Red!E:E, "")*$D$6) +
(XLOOKUP(L50, ACP_Norm_Red!A:A, ACP_Norm_Red!F:F, "")*$D$7) +
(XLOOKUP(L50, ACP_Norm_Red!A:A, ACP_Norm_Red!G:G, "")*$D$8) +
(XLOOKUP(L50, ACP_Norm_Red!A:A, ACP_Norm_Red!H:H, "")*$D$9)</f>
        <v>-0.4092673593</v>
      </c>
    </row>
    <row r="51">
      <c r="L51" s="15" t="str">
        <f>'Récap'!A84</f>
        <v>2f002333e3ee078069a370adede771895a413b747a8039cfe1f8b6d5f579fcc5</v>
      </c>
      <c r="M51" s="3">
        <f t="array" ref="M51">(XLOOKUP(L51, ACP_Norm_Red!A:A, ACP_Norm_Red!B:B, "")*$B$3) + 
(XLOOKUP(L51, ACP_Norm_Red!A:A, ACP_Norm_Red!C:C, "")*$B$4) + 
(XLOOKUP(L51, ACP_Norm_Red!A:A, ACP_Norm_Red!D:D, "")*$B$5) +
(XLOOKUP(L51, ACP_Norm_Red!A:A, ACP_Norm_Red!E:E, "")*$B$6) +
(XLOOKUP(L51, ACP_Norm_Red!A:A, ACP_Norm_Red!F:F, "")*$B$7) +
(XLOOKUP(L51, ACP_Norm_Red!A:A, ACP_Norm_Red!G:G, "")*$B$8) +
(XLOOKUP(L51, ACP_Norm_Red!A:A, ACP_Norm_Red!H:H, "")*$B$9)</f>
        <v>-0.9715254556</v>
      </c>
      <c r="N51" s="3">
        <f t="array" ref="N51">(XLOOKUP(L51, ACP_Norm_Red!A:A, ACP_Norm_Red!B:B, "")*$C$3) + 
(XLOOKUP(L51, ACP_Norm_Red!A:A, ACP_Norm_Red!C:C, "")*$C$4) + 
(XLOOKUP(L51, ACP_Norm_Red!A:A, ACP_Norm_Red!D:D, "")*$C$5) +
(XLOOKUP(L51, ACP_Norm_Red!A:A, ACP_Norm_Red!E:E, "")*$C$6) +
(XLOOKUP(L51, ACP_Norm_Red!A:A, ACP_Norm_Red!F:F, "")*$C$7) +
(XLOOKUP(L51, ACP_Norm_Red!A:A, ACP_Norm_Red!G:G, "")*$C$8) +
(XLOOKUP(L51, ACP_Norm_Red!A:A, ACP_Norm_Red!H:H, "")*$C$9)</f>
        <v>0.0528998812</v>
      </c>
      <c r="O51" s="3">
        <f t="array" ref="O51">(XLOOKUP(L51, ACP_Norm_Red!A:A, ACP_Norm_Red!B:B, "")*$D$3) + 
(XLOOKUP(L51, ACP_Norm_Red!A:A, ACP_Norm_Red!C:C, "")*$D$4) + 
(XLOOKUP(L51, ACP_Norm_Red!A:A, ACP_Norm_Red!D:D, "")*$D$5) +
(XLOOKUP(L51, ACP_Norm_Red!A:A, ACP_Norm_Red!E:E, "")*$D$6) +
(XLOOKUP(L51, ACP_Norm_Red!A:A, ACP_Norm_Red!F:F, "")*$D$7) +
(XLOOKUP(L51, ACP_Norm_Red!A:A, ACP_Norm_Red!G:G, "")*$D$8) +
(XLOOKUP(L51, ACP_Norm_Red!A:A, ACP_Norm_Red!H:H, "")*$D$9)</f>
        <v>-1.586326869</v>
      </c>
    </row>
    <row r="52">
      <c r="L52" s="15" t="str">
        <f>'Récap'!A11</f>
        <v>9323ada035535298a0de65f40698a45122446c861947978f1be17123ecf09a53</v>
      </c>
      <c r="M52" s="3">
        <f t="array" ref="M52">(XLOOKUP(L52, ACP_Norm_Red!A:A, ACP_Norm_Red!B:B, "")*$B$3) + 
(XLOOKUP(L52, ACP_Norm_Red!A:A, ACP_Norm_Red!C:C, "")*$B$4) + 
(XLOOKUP(L52, ACP_Norm_Red!A:A, ACP_Norm_Red!D:D, "")*$B$5) +
(XLOOKUP(L52, ACP_Norm_Red!A:A, ACP_Norm_Red!E:E, "")*$B$6) +
(XLOOKUP(L52, ACP_Norm_Red!A:A, ACP_Norm_Red!F:F, "")*$B$7) +
(XLOOKUP(L52, ACP_Norm_Red!A:A, ACP_Norm_Red!G:G, "")*$B$8) +
(XLOOKUP(L52, ACP_Norm_Red!A:A, ACP_Norm_Red!H:H, "")*$B$9)</f>
        <v>-3.130589631</v>
      </c>
      <c r="N52" s="3">
        <f t="array" ref="N52">(XLOOKUP(L52, ACP_Norm_Red!A:A, ACP_Norm_Red!B:B, "")*$C$3) + 
(XLOOKUP(L52, ACP_Norm_Red!A:A, ACP_Norm_Red!C:C, "")*$C$4) + 
(XLOOKUP(L52, ACP_Norm_Red!A:A, ACP_Norm_Red!D:D, "")*$C$5) +
(XLOOKUP(L52, ACP_Norm_Red!A:A, ACP_Norm_Red!E:E, "")*$C$6) +
(XLOOKUP(L52, ACP_Norm_Red!A:A, ACP_Norm_Red!F:F, "")*$C$7) +
(XLOOKUP(L52, ACP_Norm_Red!A:A, ACP_Norm_Red!G:G, "")*$C$8) +
(XLOOKUP(L52, ACP_Norm_Red!A:A, ACP_Norm_Red!H:H, "")*$C$9)</f>
        <v>1.259518087</v>
      </c>
      <c r="O52" s="3">
        <f t="array" ref="O52">(XLOOKUP(L52, ACP_Norm_Red!A:A, ACP_Norm_Red!B:B, "")*$D$3) + 
(XLOOKUP(L52, ACP_Norm_Red!A:A, ACP_Norm_Red!C:C, "")*$D$4) + 
(XLOOKUP(L52, ACP_Norm_Red!A:A, ACP_Norm_Red!D:D, "")*$D$5) +
(XLOOKUP(L52, ACP_Norm_Red!A:A, ACP_Norm_Red!E:E, "")*$D$6) +
(XLOOKUP(L52, ACP_Norm_Red!A:A, ACP_Norm_Red!F:F, "")*$D$7) +
(XLOOKUP(L52, ACP_Norm_Red!A:A, ACP_Norm_Red!G:G, "")*$D$8) +
(XLOOKUP(L52, ACP_Norm_Red!A:A, ACP_Norm_Red!H:H, "")*$D$9)</f>
        <v>1.053174704</v>
      </c>
    </row>
    <row r="53">
      <c r="L53" s="15" t="str">
        <f>'Récap'!A65</f>
        <v>95944dae06f4e15b8e63e41064092bc51db9f568df5abcdb866112b0a58a759a</v>
      </c>
      <c r="M53" s="3">
        <f t="array" ref="M53">(XLOOKUP(L53, ACP_Norm_Red!A:A, ACP_Norm_Red!B:B, "")*$B$3) + 
(XLOOKUP(L53, ACP_Norm_Red!A:A, ACP_Norm_Red!C:C, "")*$B$4) + 
(XLOOKUP(L53, ACP_Norm_Red!A:A, ACP_Norm_Red!D:D, "")*$B$5) +
(XLOOKUP(L53, ACP_Norm_Red!A:A, ACP_Norm_Red!E:E, "")*$B$6) +
(XLOOKUP(L53, ACP_Norm_Red!A:A, ACP_Norm_Red!F:F, "")*$B$7) +
(XLOOKUP(L53, ACP_Norm_Red!A:A, ACP_Norm_Red!G:G, "")*$B$8) +
(XLOOKUP(L53, ACP_Norm_Red!A:A, ACP_Norm_Red!H:H, "")*$B$9)</f>
        <v>2.113682898</v>
      </c>
      <c r="N53" s="3">
        <f t="array" ref="N53">(XLOOKUP(L53, ACP_Norm_Red!A:A, ACP_Norm_Red!B:B, "")*$C$3) + 
(XLOOKUP(L53, ACP_Norm_Red!A:A, ACP_Norm_Red!C:C, "")*$C$4) + 
(XLOOKUP(L53, ACP_Norm_Red!A:A, ACP_Norm_Red!D:D, "")*$C$5) +
(XLOOKUP(L53, ACP_Norm_Red!A:A, ACP_Norm_Red!E:E, "")*$C$6) +
(XLOOKUP(L53, ACP_Norm_Red!A:A, ACP_Norm_Red!F:F, "")*$C$7) +
(XLOOKUP(L53, ACP_Norm_Red!A:A, ACP_Norm_Red!G:G, "")*$C$8) +
(XLOOKUP(L53, ACP_Norm_Red!A:A, ACP_Norm_Red!H:H, "")*$C$9)</f>
        <v>-1.837143571</v>
      </c>
      <c r="O53" s="3">
        <f t="array" ref="O53">(XLOOKUP(L53, ACP_Norm_Red!A:A, ACP_Norm_Red!B:B, "")*$D$3) + 
(XLOOKUP(L53, ACP_Norm_Red!A:A, ACP_Norm_Red!C:C, "")*$D$4) + 
(XLOOKUP(L53, ACP_Norm_Red!A:A, ACP_Norm_Red!D:D, "")*$D$5) +
(XLOOKUP(L53, ACP_Norm_Red!A:A, ACP_Norm_Red!E:E, "")*$D$6) +
(XLOOKUP(L53, ACP_Norm_Red!A:A, ACP_Norm_Red!F:F, "")*$D$7) +
(XLOOKUP(L53, ACP_Norm_Red!A:A, ACP_Norm_Red!G:G, "")*$D$8) +
(XLOOKUP(L53, ACP_Norm_Red!A:A, ACP_Norm_Red!H:H, "")*$D$9)</f>
        <v>0.2931815946</v>
      </c>
    </row>
    <row r="54">
      <c r="L54" s="15" t="str">
        <f>'Récap'!A9</f>
        <v>93a7aef5296e288f3a39f8c1c0dcb8935c9657f5c87378408e5d1910444e7c70</v>
      </c>
      <c r="M54" s="3">
        <f t="array" ref="M54">(XLOOKUP(L54, ACP_Norm_Red!A:A, ACP_Norm_Red!B:B, "")*$B$3) + 
(XLOOKUP(L54, ACP_Norm_Red!A:A, ACP_Norm_Red!C:C, "")*$B$4) + 
(XLOOKUP(L54, ACP_Norm_Red!A:A, ACP_Norm_Red!D:D, "")*$B$5) +
(XLOOKUP(L54, ACP_Norm_Red!A:A, ACP_Norm_Red!E:E, "")*$B$6) +
(XLOOKUP(L54, ACP_Norm_Red!A:A, ACP_Norm_Red!F:F, "")*$B$7) +
(XLOOKUP(L54, ACP_Norm_Red!A:A, ACP_Norm_Red!G:G, "")*$B$8) +
(XLOOKUP(L54, ACP_Norm_Red!A:A, ACP_Norm_Red!H:H, "")*$B$9)</f>
        <v>0.0127991279</v>
      </c>
      <c r="N54" s="3">
        <f t="array" ref="N54">(XLOOKUP(L54, ACP_Norm_Red!A:A, ACP_Norm_Red!B:B, "")*$C$3) + 
(XLOOKUP(L54, ACP_Norm_Red!A:A, ACP_Norm_Red!C:C, "")*$C$4) + 
(XLOOKUP(L54, ACP_Norm_Red!A:A, ACP_Norm_Red!D:D, "")*$C$5) +
(XLOOKUP(L54, ACP_Norm_Red!A:A, ACP_Norm_Red!E:E, "")*$C$6) +
(XLOOKUP(L54, ACP_Norm_Red!A:A, ACP_Norm_Red!F:F, "")*$C$7) +
(XLOOKUP(L54, ACP_Norm_Red!A:A, ACP_Norm_Red!G:G, "")*$C$8) +
(XLOOKUP(L54, ACP_Norm_Red!A:A, ACP_Norm_Red!H:H, "")*$C$9)</f>
        <v>1.804012123</v>
      </c>
      <c r="O54" s="3">
        <f t="array" ref="O54">(XLOOKUP(L54, ACP_Norm_Red!A:A, ACP_Norm_Red!B:B, "")*$D$3) + 
(XLOOKUP(L54, ACP_Norm_Red!A:A, ACP_Norm_Red!C:C, "")*$D$4) + 
(XLOOKUP(L54, ACP_Norm_Red!A:A, ACP_Norm_Red!D:D, "")*$D$5) +
(XLOOKUP(L54, ACP_Norm_Red!A:A, ACP_Norm_Red!E:E, "")*$D$6) +
(XLOOKUP(L54, ACP_Norm_Red!A:A, ACP_Norm_Red!F:F, "")*$D$7) +
(XLOOKUP(L54, ACP_Norm_Red!A:A, ACP_Norm_Red!G:G, "")*$D$8) +
(XLOOKUP(L54, ACP_Norm_Red!A:A, ACP_Norm_Red!H:H, "")*$D$9)</f>
        <v>-0.8905693184</v>
      </c>
    </row>
    <row r="55">
      <c r="L55" s="15" t="str">
        <f>'Récap'!A16</f>
        <v>ca1b7797566e850c3e583a2fbda610a51d5504ca9b0d611a0a3e2770c912d52d</v>
      </c>
      <c r="M55" s="3">
        <f t="array" ref="M55">(XLOOKUP(L55, ACP_Norm_Red!A:A, ACP_Norm_Red!B:B, "")*$B$3) + 
(XLOOKUP(L55, ACP_Norm_Red!A:A, ACP_Norm_Red!C:C, "")*$B$4) + 
(XLOOKUP(L55, ACP_Norm_Red!A:A, ACP_Norm_Red!D:D, "")*$B$5) +
(XLOOKUP(L55, ACP_Norm_Red!A:A, ACP_Norm_Red!E:E, "")*$B$6) +
(XLOOKUP(L55, ACP_Norm_Red!A:A, ACP_Norm_Red!F:F, "")*$B$7) +
(XLOOKUP(L55, ACP_Norm_Red!A:A, ACP_Norm_Red!G:G, "")*$B$8) +
(XLOOKUP(L55, ACP_Norm_Red!A:A, ACP_Norm_Red!H:H, "")*$B$9)</f>
        <v>0.08469913784</v>
      </c>
      <c r="N55" s="3">
        <f t="array" ref="N55">(XLOOKUP(L55, ACP_Norm_Red!A:A, ACP_Norm_Red!B:B, "")*$C$3) + 
(XLOOKUP(L55, ACP_Norm_Red!A:A, ACP_Norm_Red!C:C, "")*$C$4) + 
(XLOOKUP(L55, ACP_Norm_Red!A:A, ACP_Norm_Red!D:D, "")*$C$5) +
(XLOOKUP(L55, ACP_Norm_Red!A:A, ACP_Norm_Red!E:E, "")*$C$6) +
(XLOOKUP(L55, ACP_Norm_Red!A:A, ACP_Norm_Red!F:F, "")*$C$7) +
(XLOOKUP(L55, ACP_Norm_Red!A:A, ACP_Norm_Red!G:G, "")*$C$8) +
(XLOOKUP(L55, ACP_Norm_Red!A:A, ACP_Norm_Red!H:H, "")*$C$9)</f>
        <v>-0.1901116946</v>
      </c>
      <c r="O55" s="3">
        <f t="array" ref="O55">(XLOOKUP(L55, ACP_Norm_Red!A:A, ACP_Norm_Red!B:B, "")*$D$3) + 
(XLOOKUP(L55, ACP_Norm_Red!A:A, ACP_Norm_Red!C:C, "")*$D$4) + 
(XLOOKUP(L55, ACP_Norm_Red!A:A, ACP_Norm_Red!D:D, "")*$D$5) +
(XLOOKUP(L55, ACP_Norm_Red!A:A, ACP_Norm_Red!E:E, "")*$D$6) +
(XLOOKUP(L55, ACP_Norm_Red!A:A, ACP_Norm_Red!F:F, "")*$D$7) +
(XLOOKUP(L55, ACP_Norm_Red!A:A, ACP_Norm_Red!G:G, "")*$D$8) +
(XLOOKUP(L55, ACP_Norm_Red!A:A, ACP_Norm_Red!H:H, "")*$D$9)</f>
        <v>-0.5928140818</v>
      </c>
    </row>
    <row r="56">
      <c r="L56" s="15" t="str">
        <f>'Récap'!A53</f>
        <v>0685c8001a43b03e0a155e1afa0c7bec2f4e82d24f7ce4843b25a441c45dd335</v>
      </c>
      <c r="M56" s="3">
        <f t="array" ref="M56">(XLOOKUP(L56, ACP_Norm_Red!A:A, ACP_Norm_Red!B:B, "")*$B$3) + 
(XLOOKUP(L56, ACP_Norm_Red!A:A, ACP_Norm_Red!C:C, "")*$B$4) + 
(XLOOKUP(L56, ACP_Norm_Red!A:A, ACP_Norm_Red!D:D, "")*$B$5) +
(XLOOKUP(L56, ACP_Norm_Red!A:A, ACP_Norm_Red!E:E, "")*$B$6) +
(XLOOKUP(L56, ACP_Norm_Red!A:A, ACP_Norm_Red!F:F, "")*$B$7) +
(XLOOKUP(L56, ACP_Norm_Red!A:A, ACP_Norm_Red!G:G, "")*$B$8) +
(XLOOKUP(L56, ACP_Norm_Red!A:A, ACP_Norm_Red!H:H, "")*$B$9)</f>
        <v>2.59179758</v>
      </c>
      <c r="N56" s="3">
        <f t="array" ref="N56">(XLOOKUP(L56, ACP_Norm_Red!A:A, ACP_Norm_Red!B:B, "")*$C$3) + 
(XLOOKUP(L56, ACP_Norm_Red!A:A, ACP_Norm_Red!C:C, "")*$C$4) + 
(XLOOKUP(L56, ACP_Norm_Red!A:A, ACP_Norm_Red!D:D, "")*$C$5) +
(XLOOKUP(L56, ACP_Norm_Red!A:A, ACP_Norm_Red!E:E, "")*$C$6) +
(XLOOKUP(L56, ACP_Norm_Red!A:A, ACP_Norm_Red!F:F, "")*$C$7) +
(XLOOKUP(L56, ACP_Norm_Red!A:A, ACP_Norm_Red!G:G, "")*$C$8) +
(XLOOKUP(L56, ACP_Norm_Red!A:A, ACP_Norm_Red!H:H, "")*$C$9)</f>
        <v>-1.976012797</v>
      </c>
      <c r="O56" s="3">
        <f t="array" ref="O56">(XLOOKUP(L56, ACP_Norm_Red!A:A, ACP_Norm_Red!B:B, "")*$D$3) + 
(XLOOKUP(L56, ACP_Norm_Red!A:A, ACP_Norm_Red!C:C, "")*$D$4) + 
(XLOOKUP(L56, ACP_Norm_Red!A:A, ACP_Norm_Red!D:D, "")*$D$5) +
(XLOOKUP(L56, ACP_Norm_Red!A:A, ACP_Norm_Red!E:E, "")*$D$6) +
(XLOOKUP(L56, ACP_Norm_Red!A:A, ACP_Norm_Red!F:F, "")*$D$7) +
(XLOOKUP(L56, ACP_Norm_Red!A:A, ACP_Norm_Red!G:G, "")*$D$8) +
(XLOOKUP(L56, ACP_Norm_Red!A:A, ACP_Norm_Red!H:H, "")*$D$9)</f>
        <v>0.3950766273</v>
      </c>
    </row>
    <row r="57">
      <c r="L57" s="15" t="str">
        <f>'Récap'!A74</f>
        <v>4082ac64b81101cbebcabd3b8b597bf7966896898674d507e118e3c0367ac800</v>
      </c>
      <c r="M57" s="3">
        <f t="array" ref="M57">(XLOOKUP(L57, ACP_Norm_Red!A:A, ACP_Norm_Red!B:B, "")*$B$3) + 
(XLOOKUP(L57, ACP_Norm_Red!A:A, ACP_Norm_Red!C:C, "")*$B$4) + 
(XLOOKUP(L57, ACP_Norm_Red!A:A, ACP_Norm_Red!D:D, "")*$B$5) +
(XLOOKUP(L57, ACP_Norm_Red!A:A, ACP_Norm_Red!E:E, "")*$B$6) +
(XLOOKUP(L57, ACP_Norm_Red!A:A, ACP_Norm_Red!F:F, "")*$B$7) +
(XLOOKUP(L57, ACP_Norm_Red!A:A, ACP_Norm_Red!G:G, "")*$B$8) +
(XLOOKUP(L57, ACP_Norm_Red!A:A, ACP_Norm_Red!H:H, "")*$B$9)</f>
        <v>-3.523321226</v>
      </c>
      <c r="N57" s="3">
        <f t="array" ref="N57">(XLOOKUP(L57, ACP_Norm_Red!A:A, ACP_Norm_Red!B:B, "")*$C$3) + 
(XLOOKUP(L57, ACP_Norm_Red!A:A, ACP_Norm_Red!C:C, "")*$C$4) + 
(XLOOKUP(L57, ACP_Norm_Red!A:A, ACP_Norm_Red!D:D, "")*$C$5) +
(XLOOKUP(L57, ACP_Norm_Red!A:A, ACP_Norm_Red!E:E, "")*$C$6) +
(XLOOKUP(L57, ACP_Norm_Red!A:A, ACP_Norm_Red!F:F, "")*$C$7) +
(XLOOKUP(L57, ACP_Norm_Red!A:A, ACP_Norm_Red!G:G, "")*$C$8) +
(XLOOKUP(L57, ACP_Norm_Red!A:A, ACP_Norm_Red!H:H, "")*$C$9)</f>
        <v>-0.4884174067</v>
      </c>
      <c r="O57" s="3">
        <f t="array" ref="O57">(XLOOKUP(L57, ACP_Norm_Red!A:A, ACP_Norm_Red!B:B, "")*$D$3) + 
(XLOOKUP(L57, ACP_Norm_Red!A:A, ACP_Norm_Red!C:C, "")*$D$4) + 
(XLOOKUP(L57, ACP_Norm_Red!A:A, ACP_Norm_Red!D:D, "")*$D$5) +
(XLOOKUP(L57, ACP_Norm_Red!A:A, ACP_Norm_Red!E:E, "")*$D$6) +
(XLOOKUP(L57, ACP_Norm_Red!A:A, ACP_Norm_Red!F:F, "")*$D$7) +
(XLOOKUP(L57, ACP_Norm_Red!A:A, ACP_Norm_Red!G:G, "")*$D$8) +
(XLOOKUP(L57, ACP_Norm_Red!A:A, ACP_Norm_Red!H:H, "")*$D$9)</f>
        <v>0.739286096</v>
      </c>
    </row>
    <row r="58">
      <c r="L58" s="15" t="str">
        <f>'Récap'!A24</f>
        <v>95e604186e18386f749a6d26e0868477c65803267b7c4d7bf606f77b8bbe1da4</v>
      </c>
      <c r="M58" s="3">
        <f t="array" ref="M58">(XLOOKUP(L58, ACP_Norm_Red!A:A, ACP_Norm_Red!B:B, "")*$B$3) + 
(XLOOKUP(L58, ACP_Norm_Red!A:A, ACP_Norm_Red!C:C, "")*$B$4) + 
(XLOOKUP(L58, ACP_Norm_Red!A:A, ACP_Norm_Red!D:D, "")*$B$5) +
(XLOOKUP(L58, ACP_Norm_Red!A:A, ACP_Norm_Red!E:E, "")*$B$6) +
(XLOOKUP(L58, ACP_Norm_Red!A:A, ACP_Norm_Red!F:F, "")*$B$7) +
(XLOOKUP(L58, ACP_Norm_Red!A:A, ACP_Norm_Red!G:G, "")*$B$8) +
(XLOOKUP(L58, ACP_Norm_Red!A:A, ACP_Norm_Red!H:H, "")*$B$9)</f>
        <v>-0.815218006</v>
      </c>
      <c r="N58" s="3">
        <f t="array" ref="N58">(XLOOKUP(L58, ACP_Norm_Red!A:A, ACP_Norm_Red!B:B, "")*$C$3) + 
(XLOOKUP(L58, ACP_Norm_Red!A:A, ACP_Norm_Red!C:C, "")*$C$4) + 
(XLOOKUP(L58, ACP_Norm_Red!A:A, ACP_Norm_Red!D:D, "")*$C$5) +
(XLOOKUP(L58, ACP_Norm_Red!A:A, ACP_Norm_Red!E:E, "")*$C$6) +
(XLOOKUP(L58, ACP_Norm_Red!A:A, ACP_Norm_Red!F:F, "")*$C$7) +
(XLOOKUP(L58, ACP_Norm_Red!A:A, ACP_Norm_Red!G:G, "")*$C$8) +
(XLOOKUP(L58, ACP_Norm_Red!A:A, ACP_Norm_Red!H:H, "")*$C$9)</f>
        <v>0.9628656377</v>
      </c>
      <c r="O58" s="3">
        <f t="array" ref="O58">(XLOOKUP(L58, ACP_Norm_Red!A:A, ACP_Norm_Red!B:B, "")*$D$3) + 
(XLOOKUP(L58, ACP_Norm_Red!A:A, ACP_Norm_Red!C:C, "")*$D$4) + 
(XLOOKUP(L58, ACP_Norm_Red!A:A, ACP_Norm_Red!D:D, "")*$D$5) +
(XLOOKUP(L58, ACP_Norm_Red!A:A, ACP_Norm_Red!E:E, "")*$D$6) +
(XLOOKUP(L58, ACP_Norm_Red!A:A, ACP_Norm_Red!F:F, "")*$D$7) +
(XLOOKUP(L58, ACP_Norm_Red!A:A, ACP_Norm_Red!G:G, "")*$D$8) +
(XLOOKUP(L58, ACP_Norm_Red!A:A, ACP_Norm_Red!H:H, "")*$D$9)</f>
        <v>-1.058309479</v>
      </c>
    </row>
    <row r="59">
      <c r="L59" s="15" t="str">
        <f>'Récap'!A75</f>
        <v>f1adcb66d665ecba393da1490aca01e322bebd658ae2ef41aadee9ec7106def2</v>
      </c>
      <c r="M59" s="3">
        <f t="array" ref="M59">(XLOOKUP(L59, ACP_Norm_Red!A:A, ACP_Norm_Red!B:B, "")*$B$3) + 
(XLOOKUP(L59, ACP_Norm_Red!A:A, ACP_Norm_Red!C:C, "")*$B$4) + 
(XLOOKUP(L59, ACP_Norm_Red!A:A, ACP_Norm_Red!D:D, "")*$B$5) +
(XLOOKUP(L59, ACP_Norm_Red!A:A, ACP_Norm_Red!E:E, "")*$B$6) +
(XLOOKUP(L59, ACP_Norm_Red!A:A, ACP_Norm_Red!F:F, "")*$B$7) +
(XLOOKUP(L59, ACP_Norm_Red!A:A, ACP_Norm_Red!G:G, "")*$B$8) +
(XLOOKUP(L59, ACP_Norm_Red!A:A, ACP_Norm_Red!H:H, "")*$B$9)</f>
        <v>2.353892352</v>
      </c>
      <c r="N59" s="3">
        <f t="array" ref="N59">(XLOOKUP(L59, ACP_Norm_Red!A:A, ACP_Norm_Red!B:B, "")*$C$3) + 
(XLOOKUP(L59, ACP_Norm_Red!A:A, ACP_Norm_Red!C:C, "")*$C$4) + 
(XLOOKUP(L59, ACP_Norm_Red!A:A, ACP_Norm_Red!D:D, "")*$C$5) +
(XLOOKUP(L59, ACP_Norm_Red!A:A, ACP_Norm_Red!E:E, "")*$C$6) +
(XLOOKUP(L59, ACP_Norm_Red!A:A, ACP_Norm_Red!F:F, "")*$C$7) +
(XLOOKUP(L59, ACP_Norm_Red!A:A, ACP_Norm_Red!G:G, "")*$C$8) +
(XLOOKUP(L59, ACP_Norm_Red!A:A, ACP_Norm_Red!H:H, "")*$C$9)</f>
        <v>0.6807110382</v>
      </c>
      <c r="O59" s="3">
        <f t="array" ref="O59">(XLOOKUP(L59, ACP_Norm_Red!A:A, ACP_Norm_Red!B:B, "")*$D$3) + 
(XLOOKUP(L59, ACP_Norm_Red!A:A, ACP_Norm_Red!C:C, "")*$D$4) + 
(XLOOKUP(L59, ACP_Norm_Red!A:A, ACP_Norm_Red!D:D, "")*$D$5) +
(XLOOKUP(L59, ACP_Norm_Red!A:A, ACP_Norm_Red!E:E, "")*$D$6) +
(XLOOKUP(L59, ACP_Norm_Red!A:A, ACP_Norm_Red!F:F, "")*$D$7) +
(XLOOKUP(L59, ACP_Norm_Red!A:A, ACP_Norm_Red!G:G, "")*$D$8) +
(XLOOKUP(L59, ACP_Norm_Red!A:A, ACP_Norm_Red!H:H, "")*$D$9)</f>
        <v>1.32909241</v>
      </c>
    </row>
    <row r="60">
      <c r="L60" s="15" t="str">
        <f>'Récap'!A13</f>
        <v>5c075290e921279538ad0cbf9786e8855bd2c7f97a066c94d059d313cb34273b</v>
      </c>
      <c r="M60" s="3">
        <f t="array" ref="M60">(XLOOKUP(L60, ACP_Norm_Red!A:A, ACP_Norm_Red!B:B, "")*$B$3) + 
(XLOOKUP(L60, ACP_Norm_Red!A:A, ACP_Norm_Red!C:C, "")*$B$4) + 
(XLOOKUP(L60, ACP_Norm_Red!A:A, ACP_Norm_Red!D:D, "")*$B$5) +
(XLOOKUP(L60, ACP_Norm_Red!A:A, ACP_Norm_Red!E:E, "")*$B$6) +
(XLOOKUP(L60, ACP_Norm_Red!A:A, ACP_Norm_Red!F:F, "")*$B$7) +
(XLOOKUP(L60, ACP_Norm_Red!A:A, ACP_Norm_Red!G:G, "")*$B$8) +
(XLOOKUP(L60, ACP_Norm_Red!A:A, ACP_Norm_Red!H:H, "")*$B$9)</f>
        <v>1.018892922</v>
      </c>
      <c r="N60" s="3">
        <f t="array" ref="N60">(XLOOKUP(L60, ACP_Norm_Red!A:A, ACP_Norm_Red!B:B, "")*$C$3) + 
(XLOOKUP(L60, ACP_Norm_Red!A:A, ACP_Norm_Red!C:C, "")*$C$4) + 
(XLOOKUP(L60, ACP_Norm_Red!A:A, ACP_Norm_Red!D:D, "")*$C$5) +
(XLOOKUP(L60, ACP_Norm_Red!A:A, ACP_Norm_Red!E:E, "")*$C$6) +
(XLOOKUP(L60, ACP_Norm_Red!A:A, ACP_Norm_Red!F:F, "")*$C$7) +
(XLOOKUP(L60, ACP_Norm_Red!A:A, ACP_Norm_Red!G:G, "")*$C$8) +
(XLOOKUP(L60, ACP_Norm_Red!A:A, ACP_Norm_Red!H:H, "")*$C$9)</f>
        <v>1.497363352</v>
      </c>
      <c r="O60" s="3">
        <f t="array" ref="O60">(XLOOKUP(L60, ACP_Norm_Red!A:A, ACP_Norm_Red!B:B, "")*$D$3) + 
(XLOOKUP(L60, ACP_Norm_Red!A:A, ACP_Norm_Red!C:C, "")*$D$4) + 
(XLOOKUP(L60, ACP_Norm_Red!A:A, ACP_Norm_Red!D:D, "")*$D$5) +
(XLOOKUP(L60, ACP_Norm_Red!A:A, ACP_Norm_Red!E:E, "")*$D$6) +
(XLOOKUP(L60, ACP_Norm_Red!A:A, ACP_Norm_Red!F:F, "")*$D$7) +
(XLOOKUP(L60, ACP_Norm_Red!A:A, ACP_Norm_Red!G:G, "")*$D$8) +
(XLOOKUP(L60, ACP_Norm_Red!A:A, ACP_Norm_Red!H:H, "")*$D$9)</f>
        <v>-1.1520325</v>
      </c>
    </row>
    <row r="61">
      <c r="L61" s="15" t="str">
        <f>'Récap'!A77</f>
        <v>c38594bec27d288cfe5bd031cde0cff4c46de188336f74ff3f79854c88c65b00</v>
      </c>
      <c r="M61" s="3">
        <f t="array" ref="M61">(XLOOKUP(L61, ACP_Norm_Red!A:A, ACP_Norm_Red!B:B, "")*$B$3) + 
(XLOOKUP(L61, ACP_Norm_Red!A:A, ACP_Norm_Red!C:C, "")*$B$4) + 
(XLOOKUP(L61, ACP_Norm_Red!A:A, ACP_Norm_Red!D:D, "")*$B$5) +
(XLOOKUP(L61, ACP_Norm_Red!A:A, ACP_Norm_Red!E:E, "")*$B$6) +
(XLOOKUP(L61, ACP_Norm_Red!A:A, ACP_Norm_Red!F:F, "")*$B$7) +
(XLOOKUP(L61, ACP_Norm_Red!A:A, ACP_Norm_Red!G:G, "")*$B$8) +
(XLOOKUP(L61, ACP_Norm_Red!A:A, ACP_Norm_Red!H:H, "")*$B$9)</f>
        <v>1.3903437</v>
      </c>
      <c r="N61" s="3">
        <f t="array" ref="N61">(XLOOKUP(L61, ACP_Norm_Red!A:A, ACP_Norm_Red!B:B, "")*$C$3) + 
(XLOOKUP(L61, ACP_Norm_Red!A:A, ACP_Norm_Red!C:C, "")*$C$4) + 
(XLOOKUP(L61, ACP_Norm_Red!A:A, ACP_Norm_Red!D:D, "")*$C$5) +
(XLOOKUP(L61, ACP_Norm_Red!A:A, ACP_Norm_Red!E:E, "")*$C$6) +
(XLOOKUP(L61, ACP_Norm_Red!A:A, ACP_Norm_Red!F:F, "")*$C$7) +
(XLOOKUP(L61, ACP_Norm_Red!A:A, ACP_Norm_Red!G:G, "")*$C$8) +
(XLOOKUP(L61, ACP_Norm_Red!A:A, ACP_Norm_Red!H:H, "")*$C$9)</f>
        <v>1.055653211</v>
      </c>
      <c r="O61" s="3">
        <f t="array" ref="O61">(XLOOKUP(L61, ACP_Norm_Red!A:A, ACP_Norm_Red!B:B, "")*$D$3) + 
(XLOOKUP(L61, ACP_Norm_Red!A:A, ACP_Norm_Red!C:C, "")*$D$4) + 
(XLOOKUP(L61, ACP_Norm_Red!A:A, ACP_Norm_Red!D:D, "")*$D$5) +
(XLOOKUP(L61, ACP_Norm_Red!A:A, ACP_Norm_Red!E:E, "")*$D$6) +
(XLOOKUP(L61, ACP_Norm_Red!A:A, ACP_Norm_Red!F:F, "")*$D$7) +
(XLOOKUP(L61, ACP_Norm_Red!A:A, ACP_Norm_Red!G:G, "")*$D$8) +
(XLOOKUP(L61, ACP_Norm_Red!A:A, ACP_Norm_Red!H:H, "")*$D$9)</f>
        <v>0.381123207</v>
      </c>
    </row>
    <row r="62">
      <c r="L62" s="15" t="str">
        <f>'Récap'!A83</f>
        <v>cec0a384f41fb2446aff0043657c7e32479dd58e701084dde0bcc28f161aa2b1</v>
      </c>
      <c r="M62" s="3">
        <f t="array" ref="M62">(XLOOKUP(L62, ACP_Norm_Red!A:A, ACP_Norm_Red!B:B, "")*$B$3) + 
(XLOOKUP(L62, ACP_Norm_Red!A:A, ACP_Norm_Red!C:C, "")*$B$4) + 
(XLOOKUP(L62, ACP_Norm_Red!A:A, ACP_Norm_Red!D:D, "")*$B$5) +
(XLOOKUP(L62, ACP_Norm_Red!A:A, ACP_Norm_Red!E:E, "")*$B$6) +
(XLOOKUP(L62, ACP_Norm_Red!A:A, ACP_Norm_Red!F:F, "")*$B$7) +
(XLOOKUP(L62, ACP_Norm_Red!A:A, ACP_Norm_Red!G:G, "")*$B$8) +
(XLOOKUP(L62, ACP_Norm_Red!A:A, ACP_Norm_Red!H:H, "")*$B$9)</f>
        <v>1.105621812</v>
      </c>
      <c r="N62" s="3">
        <f t="array" ref="N62">(XLOOKUP(L62, ACP_Norm_Red!A:A, ACP_Norm_Red!B:B, "")*$C$3) + 
(XLOOKUP(L62, ACP_Norm_Red!A:A, ACP_Norm_Red!C:C, "")*$C$4) + 
(XLOOKUP(L62, ACP_Norm_Red!A:A, ACP_Norm_Red!D:D, "")*$C$5) +
(XLOOKUP(L62, ACP_Norm_Red!A:A, ACP_Norm_Red!E:E, "")*$C$6) +
(XLOOKUP(L62, ACP_Norm_Red!A:A, ACP_Norm_Red!F:F, "")*$C$7) +
(XLOOKUP(L62, ACP_Norm_Red!A:A, ACP_Norm_Red!G:G, "")*$C$8) +
(XLOOKUP(L62, ACP_Norm_Red!A:A, ACP_Norm_Red!H:H, "")*$C$9)</f>
        <v>1.761286253</v>
      </c>
      <c r="O62" s="3">
        <f t="array" ref="O62">(XLOOKUP(L62, ACP_Norm_Red!A:A, ACP_Norm_Red!B:B, "")*$D$3) + 
(XLOOKUP(L62, ACP_Norm_Red!A:A, ACP_Norm_Red!C:C, "")*$D$4) + 
(XLOOKUP(L62, ACP_Norm_Red!A:A, ACP_Norm_Red!D:D, "")*$D$5) +
(XLOOKUP(L62, ACP_Norm_Red!A:A, ACP_Norm_Red!E:E, "")*$D$6) +
(XLOOKUP(L62, ACP_Norm_Red!A:A, ACP_Norm_Red!F:F, "")*$D$7) +
(XLOOKUP(L62, ACP_Norm_Red!A:A, ACP_Norm_Red!G:G, "")*$D$8) +
(XLOOKUP(L62, ACP_Norm_Red!A:A, ACP_Norm_Red!H:H, "")*$D$9)</f>
        <v>-0.3875432471</v>
      </c>
    </row>
    <row r="63">
      <c r="L63" s="15" t="str">
        <f>'Récap'!A63</f>
        <v>f837bce807410ac6f8b52fcee81a1ffaa2d7f77755861f2e6f2b482bff0f6fe9</v>
      </c>
      <c r="M63" s="3">
        <f t="array" ref="M63">(XLOOKUP(L63, ACP_Norm_Red!A:A, ACP_Norm_Red!B:B, "")*$B$3) + 
(XLOOKUP(L63, ACP_Norm_Red!A:A, ACP_Norm_Red!C:C, "")*$B$4) + 
(XLOOKUP(L63, ACP_Norm_Red!A:A, ACP_Norm_Red!D:D, "")*$B$5) +
(XLOOKUP(L63, ACP_Norm_Red!A:A, ACP_Norm_Red!E:E, "")*$B$6) +
(XLOOKUP(L63, ACP_Norm_Red!A:A, ACP_Norm_Red!F:F, "")*$B$7) +
(XLOOKUP(L63, ACP_Norm_Red!A:A, ACP_Norm_Red!G:G, "")*$B$8) +
(XLOOKUP(L63, ACP_Norm_Red!A:A, ACP_Norm_Red!H:H, "")*$B$9)</f>
        <v>-2.915565567</v>
      </c>
      <c r="N63" s="3">
        <f t="array" ref="N63">(XLOOKUP(L63, ACP_Norm_Red!A:A, ACP_Norm_Red!B:B, "")*$C$3) + 
(XLOOKUP(L63, ACP_Norm_Red!A:A, ACP_Norm_Red!C:C, "")*$C$4) + 
(XLOOKUP(L63, ACP_Norm_Red!A:A, ACP_Norm_Red!D:D, "")*$C$5) +
(XLOOKUP(L63, ACP_Norm_Red!A:A, ACP_Norm_Red!E:E, "")*$C$6) +
(XLOOKUP(L63, ACP_Norm_Red!A:A, ACP_Norm_Red!F:F, "")*$C$7) +
(XLOOKUP(L63, ACP_Norm_Red!A:A, ACP_Norm_Red!G:G, "")*$C$8) +
(XLOOKUP(L63, ACP_Norm_Red!A:A, ACP_Norm_Red!H:H, "")*$C$9)</f>
        <v>2.788353969</v>
      </c>
      <c r="O63" s="3">
        <f t="array" ref="O63">(XLOOKUP(L63, ACP_Norm_Red!A:A, ACP_Norm_Red!B:B, "")*$D$3) + 
(XLOOKUP(L63, ACP_Norm_Red!A:A, ACP_Norm_Red!C:C, "")*$D$4) + 
(XLOOKUP(L63, ACP_Norm_Red!A:A, ACP_Norm_Red!D:D, "")*$D$5) +
(XLOOKUP(L63, ACP_Norm_Red!A:A, ACP_Norm_Red!E:E, "")*$D$6) +
(XLOOKUP(L63, ACP_Norm_Red!A:A, ACP_Norm_Red!F:F, "")*$D$7) +
(XLOOKUP(L63, ACP_Norm_Red!A:A, ACP_Norm_Red!G:G, "")*$D$8) +
(XLOOKUP(L63, ACP_Norm_Red!A:A, ACP_Norm_Red!H:H, "")*$D$9)</f>
        <v>-0.05697031551</v>
      </c>
    </row>
    <row r="64">
      <c r="L64" s="15" t="str">
        <f>'Récap'!A70</f>
        <v>2a9dda5adde456cb4c1ec3735fde1d4591c3b0780ef3d82b8c7fed613382e82f</v>
      </c>
      <c r="M64" s="3">
        <f t="array" ref="M64">(XLOOKUP(L64, ACP_Norm_Red!A:A, ACP_Norm_Red!B:B, "")*$B$3) + 
(XLOOKUP(L64, ACP_Norm_Red!A:A, ACP_Norm_Red!C:C, "")*$B$4) + 
(XLOOKUP(L64, ACP_Norm_Red!A:A, ACP_Norm_Red!D:D, "")*$B$5) +
(XLOOKUP(L64, ACP_Norm_Red!A:A, ACP_Norm_Red!E:E, "")*$B$6) +
(XLOOKUP(L64, ACP_Norm_Red!A:A, ACP_Norm_Red!F:F, "")*$B$7) +
(XLOOKUP(L64, ACP_Norm_Red!A:A, ACP_Norm_Red!G:G, "")*$B$8) +
(XLOOKUP(L64, ACP_Norm_Red!A:A, ACP_Norm_Red!H:H, "")*$B$9)</f>
        <v>0.5524887545</v>
      </c>
      <c r="N64" s="3">
        <f t="array" ref="N64">(XLOOKUP(L64, ACP_Norm_Red!A:A, ACP_Norm_Red!B:B, "")*$C$3) + 
(XLOOKUP(L64, ACP_Norm_Red!A:A, ACP_Norm_Red!C:C, "")*$C$4) + 
(XLOOKUP(L64, ACP_Norm_Red!A:A, ACP_Norm_Red!D:D, "")*$C$5) +
(XLOOKUP(L64, ACP_Norm_Red!A:A, ACP_Norm_Red!E:E, "")*$C$6) +
(XLOOKUP(L64, ACP_Norm_Red!A:A, ACP_Norm_Red!F:F, "")*$C$7) +
(XLOOKUP(L64, ACP_Norm_Red!A:A, ACP_Norm_Red!G:G, "")*$C$8) +
(XLOOKUP(L64, ACP_Norm_Red!A:A, ACP_Norm_Red!H:H, "")*$C$9)</f>
        <v>-1.360800599</v>
      </c>
      <c r="O64" s="3">
        <f t="array" ref="O64">(XLOOKUP(L64, ACP_Norm_Red!A:A, ACP_Norm_Red!B:B, "")*$D$3) + 
(XLOOKUP(L64, ACP_Norm_Red!A:A, ACP_Norm_Red!C:C, "")*$D$4) + 
(XLOOKUP(L64, ACP_Norm_Red!A:A, ACP_Norm_Red!D:D, "")*$D$5) +
(XLOOKUP(L64, ACP_Norm_Red!A:A, ACP_Norm_Red!E:E, "")*$D$6) +
(XLOOKUP(L64, ACP_Norm_Red!A:A, ACP_Norm_Red!F:F, "")*$D$7) +
(XLOOKUP(L64, ACP_Norm_Red!A:A, ACP_Norm_Red!G:G, "")*$D$8) +
(XLOOKUP(L64, ACP_Norm_Red!A:A, ACP_Norm_Red!H:H, "")*$D$9)</f>
        <v>-0.5815967555</v>
      </c>
    </row>
    <row r="65">
      <c r="L65" s="15" t="str">
        <f>'Récap'!A82</f>
        <v>570df8c7a9f77bb2889ba29eb35271e4e2340fd1709d075882800ac637643e15</v>
      </c>
      <c r="M65" s="3">
        <f t="array" ref="M65">(XLOOKUP(L65, ACP_Norm_Red!A:A, ACP_Norm_Red!B:B, "")*$B$3) + 
(XLOOKUP(L65, ACP_Norm_Red!A:A, ACP_Norm_Red!C:C, "")*$B$4) + 
(XLOOKUP(L65, ACP_Norm_Red!A:A, ACP_Norm_Red!D:D, "")*$B$5) +
(XLOOKUP(L65, ACP_Norm_Red!A:A, ACP_Norm_Red!E:E, "")*$B$6) +
(XLOOKUP(L65, ACP_Norm_Red!A:A, ACP_Norm_Red!F:F, "")*$B$7) +
(XLOOKUP(L65, ACP_Norm_Red!A:A, ACP_Norm_Red!G:G, "")*$B$8) +
(XLOOKUP(L65, ACP_Norm_Red!A:A, ACP_Norm_Red!H:H, "")*$B$9)</f>
        <v>-3.43522687</v>
      </c>
      <c r="N65" s="3">
        <f t="array" ref="N65">(XLOOKUP(L65, ACP_Norm_Red!A:A, ACP_Norm_Red!B:B, "")*$C$3) + 
(XLOOKUP(L65, ACP_Norm_Red!A:A, ACP_Norm_Red!C:C, "")*$C$4) + 
(XLOOKUP(L65, ACP_Norm_Red!A:A, ACP_Norm_Red!D:D, "")*$C$5) +
(XLOOKUP(L65, ACP_Norm_Red!A:A, ACP_Norm_Red!E:E, "")*$C$6) +
(XLOOKUP(L65, ACP_Norm_Red!A:A, ACP_Norm_Red!F:F, "")*$C$7) +
(XLOOKUP(L65, ACP_Norm_Red!A:A, ACP_Norm_Red!G:G, "")*$C$8) +
(XLOOKUP(L65, ACP_Norm_Red!A:A, ACP_Norm_Red!H:H, "")*$C$9)</f>
        <v>-0.5213952361</v>
      </c>
      <c r="O65" s="3">
        <f t="array" ref="O65">(XLOOKUP(L65, ACP_Norm_Red!A:A, ACP_Norm_Red!B:B, "")*$D$3) + 
(XLOOKUP(L65, ACP_Norm_Red!A:A, ACP_Norm_Red!C:C, "")*$D$4) + 
(XLOOKUP(L65, ACP_Norm_Red!A:A, ACP_Norm_Red!D:D, "")*$D$5) +
(XLOOKUP(L65, ACP_Norm_Red!A:A, ACP_Norm_Red!E:E, "")*$D$6) +
(XLOOKUP(L65, ACP_Norm_Red!A:A, ACP_Norm_Red!F:F, "")*$D$7) +
(XLOOKUP(L65, ACP_Norm_Red!A:A, ACP_Norm_Red!G:G, "")*$D$8) +
(XLOOKUP(L65, ACP_Norm_Red!A:A, ACP_Norm_Red!H:H, "")*$D$9)</f>
        <v>0.8297275103</v>
      </c>
    </row>
    <row r="66">
      <c r="L66" s="15" t="str">
        <f>'Récap'!A32</f>
        <v>88faa9b4e525ea83f6efab60ae88469da5222f0b0f52c16c3af4e4763baa1daf</v>
      </c>
      <c r="M66" s="3">
        <f t="array" ref="M66">(XLOOKUP(L66, ACP_Norm_Red!A:A, ACP_Norm_Red!B:B, "")*$B$3) + 
(XLOOKUP(L66, ACP_Norm_Red!A:A, ACP_Norm_Red!C:C, "")*$B$4) + 
(XLOOKUP(L66, ACP_Norm_Red!A:A, ACP_Norm_Red!D:D, "")*$B$5) +
(XLOOKUP(L66, ACP_Norm_Red!A:A, ACP_Norm_Red!E:E, "")*$B$6) +
(XLOOKUP(L66, ACP_Norm_Red!A:A, ACP_Norm_Red!F:F, "")*$B$7) +
(XLOOKUP(L66, ACP_Norm_Red!A:A, ACP_Norm_Red!G:G, "")*$B$8) +
(XLOOKUP(L66, ACP_Norm_Red!A:A, ACP_Norm_Red!H:H, "")*$B$9)</f>
        <v>0.7632057607</v>
      </c>
      <c r="N66" s="3">
        <f t="array" ref="N66">(XLOOKUP(L66, ACP_Norm_Red!A:A, ACP_Norm_Red!B:B, "")*$C$3) + 
(XLOOKUP(L66, ACP_Norm_Red!A:A, ACP_Norm_Red!C:C, "")*$C$4) + 
(XLOOKUP(L66, ACP_Norm_Red!A:A, ACP_Norm_Red!D:D, "")*$C$5) +
(XLOOKUP(L66, ACP_Norm_Red!A:A, ACP_Norm_Red!E:E, "")*$C$6) +
(XLOOKUP(L66, ACP_Norm_Red!A:A, ACP_Norm_Red!F:F, "")*$C$7) +
(XLOOKUP(L66, ACP_Norm_Red!A:A, ACP_Norm_Red!G:G, "")*$C$8) +
(XLOOKUP(L66, ACP_Norm_Red!A:A, ACP_Norm_Red!H:H, "")*$C$9)</f>
        <v>-1.417264248</v>
      </c>
      <c r="O66" s="3">
        <f t="array" ref="O66">(XLOOKUP(L66, ACP_Norm_Red!A:A, ACP_Norm_Red!B:B, "")*$D$3) + 
(XLOOKUP(L66, ACP_Norm_Red!A:A, ACP_Norm_Red!C:C, "")*$D$4) + 
(XLOOKUP(L66, ACP_Norm_Red!A:A, ACP_Norm_Red!D:D, "")*$D$5) +
(XLOOKUP(L66, ACP_Norm_Red!A:A, ACP_Norm_Red!E:E, "")*$D$6) +
(XLOOKUP(L66, ACP_Norm_Red!A:A, ACP_Norm_Red!F:F, "")*$D$7) +
(XLOOKUP(L66, ACP_Norm_Red!A:A, ACP_Norm_Red!G:G, "")*$D$8) +
(XLOOKUP(L66, ACP_Norm_Red!A:A, ACP_Norm_Red!H:H, "")*$D$9)</f>
        <v>-0.25285571</v>
      </c>
    </row>
    <row r="67">
      <c r="L67" s="15" t="str">
        <f>'Récap'!A56</f>
        <v>aeff5cdc8c731a2b16beb6f260aeeca455401bc2ddb229aa87a464475f95b1ca</v>
      </c>
      <c r="M67" s="3">
        <f t="array" ref="M67">(XLOOKUP(L67, ACP_Norm_Red!A:A, ACP_Norm_Red!B:B, "")*$B$3) + 
(XLOOKUP(L67, ACP_Norm_Red!A:A, ACP_Norm_Red!C:C, "")*$B$4) + 
(XLOOKUP(L67, ACP_Norm_Red!A:A, ACP_Norm_Red!D:D, "")*$B$5) +
(XLOOKUP(L67, ACP_Norm_Red!A:A, ACP_Norm_Red!E:E, "")*$B$6) +
(XLOOKUP(L67, ACP_Norm_Red!A:A, ACP_Norm_Red!F:F, "")*$B$7) +
(XLOOKUP(L67, ACP_Norm_Red!A:A, ACP_Norm_Red!G:G, "")*$B$8) +
(XLOOKUP(L67, ACP_Norm_Red!A:A, ACP_Norm_Red!H:H, "")*$B$9)</f>
        <v>-2.770733545</v>
      </c>
      <c r="N67" s="3">
        <f t="array" ref="N67">(XLOOKUP(L67, ACP_Norm_Red!A:A, ACP_Norm_Red!B:B, "")*$C$3) + 
(XLOOKUP(L67, ACP_Norm_Red!A:A, ACP_Norm_Red!C:C, "")*$C$4) + 
(XLOOKUP(L67, ACP_Norm_Red!A:A, ACP_Norm_Red!D:D, "")*$C$5) +
(XLOOKUP(L67, ACP_Norm_Red!A:A, ACP_Norm_Red!E:E, "")*$C$6) +
(XLOOKUP(L67, ACP_Norm_Red!A:A, ACP_Norm_Red!F:F, "")*$C$7) +
(XLOOKUP(L67, ACP_Norm_Red!A:A, ACP_Norm_Red!G:G, "")*$C$8) +
(XLOOKUP(L67, ACP_Norm_Red!A:A, ACP_Norm_Red!H:H, "")*$C$9)</f>
        <v>1.900433216</v>
      </c>
      <c r="O67" s="3">
        <f t="array" ref="O67">(XLOOKUP(L67, ACP_Norm_Red!A:A, ACP_Norm_Red!B:B, "")*$D$3) + 
(XLOOKUP(L67, ACP_Norm_Red!A:A, ACP_Norm_Red!C:C, "")*$D$4) + 
(XLOOKUP(L67, ACP_Norm_Red!A:A, ACP_Norm_Red!D:D, "")*$D$5) +
(XLOOKUP(L67, ACP_Norm_Red!A:A, ACP_Norm_Red!E:E, "")*$D$6) +
(XLOOKUP(L67, ACP_Norm_Red!A:A, ACP_Norm_Red!F:F, "")*$D$7) +
(XLOOKUP(L67, ACP_Norm_Red!A:A, ACP_Norm_Red!G:G, "")*$D$8) +
(XLOOKUP(L67, ACP_Norm_Red!A:A, ACP_Norm_Red!H:H, "")*$D$9)</f>
        <v>1.628751219</v>
      </c>
    </row>
    <row r="68">
      <c r="L68" s="15" t="str">
        <f>'Récap'!A43</f>
        <v>0973288c77f97c9245c444f90526bc6137bc40b48200197fd5bb6134f618f165</v>
      </c>
      <c r="M68" s="3">
        <f t="array" ref="M68">(XLOOKUP(L68, ACP_Norm_Red!A:A, ACP_Norm_Red!B:B, "")*$B$3) + 
(XLOOKUP(L68, ACP_Norm_Red!A:A, ACP_Norm_Red!C:C, "")*$B$4) + 
(XLOOKUP(L68, ACP_Norm_Red!A:A, ACP_Norm_Red!D:D, "")*$B$5) +
(XLOOKUP(L68, ACP_Norm_Red!A:A, ACP_Norm_Red!E:E, "")*$B$6) +
(XLOOKUP(L68, ACP_Norm_Red!A:A, ACP_Norm_Red!F:F, "")*$B$7) +
(XLOOKUP(L68, ACP_Norm_Red!A:A, ACP_Norm_Red!G:G, "")*$B$8) +
(XLOOKUP(L68, ACP_Norm_Red!A:A, ACP_Norm_Red!H:H, "")*$B$9)</f>
        <v>1.615277661</v>
      </c>
      <c r="N68" s="3">
        <f t="array" ref="N68">(XLOOKUP(L68, ACP_Norm_Red!A:A, ACP_Norm_Red!B:B, "")*$C$3) + 
(XLOOKUP(L68, ACP_Norm_Red!A:A, ACP_Norm_Red!C:C, "")*$C$4) + 
(XLOOKUP(L68, ACP_Norm_Red!A:A, ACP_Norm_Red!D:D, "")*$C$5) +
(XLOOKUP(L68, ACP_Norm_Red!A:A, ACP_Norm_Red!E:E, "")*$C$6) +
(XLOOKUP(L68, ACP_Norm_Red!A:A, ACP_Norm_Red!F:F, "")*$C$7) +
(XLOOKUP(L68, ACP_Norm_Red!A:A, ACP_Norm_Red!G:G, "")*$C$8) +
(XLOOKUP(L68, ACP_Norm_Red!A:A, ACP_Norm_Red!H:H, "")*$C$9)</f>
        <v>-1.619470438</v>
      </c>
      <c r="O68" s="3">
        <f t="array" ref="O68">(XLOOKUP(L68, ACP_Norm_Red!A:A, ACP_Norm_Red!B:B, "")*$D$3) + 
(XLOOKUP(L68, ACP_Norm_Red!A:A, ACP_Norm_Red!C:C, "")*$D$4) + 
(XLOOKUP(L68, ACP_Norm_Red!A:A, ACP_Norm_Red!D:D, "")*$D$5) +
(XLOOKUP(L68, ACP_Norm_Red!A:A, ACP_Norm_Red!E:E, "")*$D$6) +
(XLOOKUP(L68, ACP_Norm_Red!A:A, ACP_Norm_Red!F:F, "")*$D$7) +
(XLOOKUP(L68, ACP_Norm_Red!A:A, ACP_Norm_Red!G:G, "")*$D$8) +
(XLOOKUP(L68, ACP_Norm_Red!A:A, ACP_Norm_Red!H:H, "")*$D$9)</f>
        <v>-0.5275488913</v>
      </c>
    </row>
    <row r="69">
      <c r="L69" s="15" t="str">
        <f>'Récap'!A27</f>
        <v>ad1624c5c3a02a3a3b3dcb044b912998b64ca2e7cd54abe79476f86a41a3234b</v>
      </c>
      <c r="M69" s="3">
        <f t="array" ref="M69">(XLOOKUP(L69, ACP_Norm_Red!A:A, ACP_Norm_Red!B:B, "")*$B$3) + 
(XLOOKUP(L69, ACP_Norm_Red!A:A, ACP_Norm_Red!C:C, "")*$B$4) + 
(XLOOKUP(L69, ACP_Norm_Red!A:A, ACP_Norm_Red!D:D, "")*$B$5) +
(XLOOKUP(L69, ACP_Norm_Red!A:A, ACP_Norm_Red!E:E, "")*$B$6) +
(XLOOKUP(L69, ACP_Norm_Red!A:A, ACP_Norm_Red!F:F, "")*$B$7) +
(XLOOKUP(L69, ACP_Norm_Red!A:A, ACP_Norm_Red!G:G, "")*$B$8) +
(XLOOKUP(L69, ACP_Norm_Red!A:A, ACP_Norm_Red!H:H, "")*$B$9)</f>
        <v>2.610336066</v>
      </c>
      <c r="N69" s="3">
        <f t="array" ref="N69">(XLOOKUP(L69, ACP_Norm_Red!A:A, ACP_Norm_Red!B:B, "")*$C$3) + 
(XLOOKUP(L69, ACP_Norm_Red!A:A, ACP_Norm_Red!C:C, "")*$C$4) + 
(XLOOKUP(L69, ACP_Norm_Red!A:A, ACP_Norm_Red!D:D, "")*$C$5) +
(XLOOKUP(L69, ACP_Norm_Red!A:A, ACP_Norm_Red!E:E, "")*$C$6) +
(XLOOKUP(L69, ACP_Norm_Red!A:A, ACP_Norm_Red!F:F, "")*$C$7) +
(XLOOKUP(L69, ACP_Norm_Red!A:A, ACP_Norm_Red!G:G, "")*$C$8) +
(XLOOKUP(L69, ACP_Norm_Red!A:A, ACP_Norm_Red!H:H, "")*$C$9)</f>
        <v>1.361232295</v>
      </c>
      <c r="O69" s="3">
        <f t="array" ref="O69">(XLOOKUP(L69, ACP_Norm_Red!A:A, ACP_Norm_Red!B:B, "")*$D$3) + 
(XLOOKUP(L69, ACP_Norm_Red!A:A, ACP_Norm_Red!C:C, "")*$D$4) + 
(XLOOKUP(L69, ACP_Norm_Red!A:A, ACP_Norm_Red!D:D, "")*$D$5) +
(XLOOKUP(L69, ACP_Norm_Red!A:A, ACP_Norm_Red!E:E, "")*$D$6) +
(XLOOKUP(L69, ACP_Norm_Red!A:A, ACP_Norm_Red!F:F, "")*$D$7) +
(XLOOKUP(L69, ACP_Norm_Red!A:A, ACP_Norm_Red!G:G, "")*$D$8) +
(XLOOKUP(L69, ACP_Norm_Red!A:A, ACP_Norm_Red!H:H, "")*$D$9)</f>
        <v>0.8688427561</v>
      </c>
    </row>
    <row r="70">
      <c r="L70" s="15" t="str">
        <f>'Récap'!A26</f>
        <v>d981675479ab443031cba32f40c3dca9e031547c59346a4c0ea7c624c054d936</v>
      </c>
      <c r="M70" s="3">
        <f t="array" ref="M70">(XLOOKUP(L70, ACP_Norm_Red!A:A, ACP_Norm_Red!B:B, "")*$B$3) + 
(XLOOKUP(L70, ACP_Norm_Red!A:A, ACP_Norm_Red!C:C, "")*$B$4) + 
(XLOOKUP(L70, ACP_Norm_Red!A:A, ACP_Norm_Red!D:D, "")*$B$5) +
(XLOOKUP(L70, ACP_Norm_Red!A:A, ACP_Norm_Red!E:E, "")*$B$6) +
(XLOOKUP(L70, ACP_Norm_Red!A:A, ACP_Norm_Red!F:F, "")*$B$7) +
(XLOOKUP(L70, ACP_Norm_Red!A:A, ACP_Norm_Red!G:G, "")*$B$8) +
(XLOOKUP(L70, ACP_Norm_Red!A:A, ACP_Norm_Red!H:H, "")*$B$9)</f>
        <v>-1.914382532</v>
      </c>
      <c r="N70" s="3">
        <f t="array" ref="N70">(XLOOKUP(L70, ACP_Norm_Red!A:A, ACP_Norm_Red!B:B, "")*$C$3) + 
(XLOOKUP(L70, ACP_Norm_Red!A:A, ACP_Norm_Red!C:C, "")*$C$4) + 
(XLOOKUP(L70, ACP_Norm_Red!A:A, ACP_Norm_Red!D:D, "")*$C$5) +
(XLOOKUP(L70, ACP_Norm_Red!A:A, ACP_Norm_Red!E:E, "")*$C$6) +
(XLOOKUP(L70, ACP_Norm_Red!A:A, ACP_Norm_Red!F:F, "")*$C$7) +
(XLOOKUP(L70, ACP_Norm_Red!A:A, ACP_Norm_Red!G:G, "")*$C$8) +
(XLOOKUP(L70, ACP_Norm_Red!A:A, ACP_Norm_Red!H:H, "")*$C$9)</f>
        <v>0.3520049247</v>
      </c>
      <c r="O70" s="3">
        <f t="array" ref="O70">(XLOOKUP(L70, ACP_Norm_Red!A:A, ACP_Norm_Red!B:B, "")*$D$3) + 
(XLOOKUP(L70, ACP_Norm_Red!A:A, ACP_Norm_Red!C:C, "")*$D$4) + 
(XLOOKUP(L70, ACP_Norm_Red!A:A, ACP_Norm_Red!D:D, "")*$D$5) +
(XLOOKUP(L70, ACP_Norm_Red!A:A, ACP_Norm_Red!E:E, "")*$D$6) +
(XLOOKUP(L70, ACP_Norm_Red!A:A, ACP_Norm_Red!F:F, "")*$D$7) +
(XLOOKUP(L70, ACP_Norm_Red!A:A, ACP_Norm_Red!G:G, "")*$D$8) +
(XLOOKUP(L70, ACP_Norm_Red!A:A, ACP_Norm_Red!H:H, "")*$D$9)</f>
        <v>-0.07806343221</v>
      </c>
    </row>
    <row r="71">
      <c r="L71" s="15" t="str">
        <f>'Récap'!A37</f>
        <v>23d73ca299f02110f10fe0b18902fd2ea5ad124d3a061f110083353b3899c369</v>
      </c>
      <c r="M71" s="3">
        <f t="array" ref="M71">(XLOOKUP(L71, ACP_Norm_Red!A:A, ACP_Norm_Red!B:B, "")*$B$3) + 
(XLOOKUP(L71, ACP_Norm_Red!A:A, ACP_Norm_Red!C:C, "")*$B$4) + 
(XLOOKUP(L71, ACP_Norm_Red!A:A, ACP_Norm_Red!D:D, "")*$B$5) +
(XLOOKUP(L71, ACP_Norm_Red!A:A, ACP_Norm_Red!E:E, "")*$B$6) +
(XLOOKUP(L71, ACP_Norm_Red!A:A, ACP_Norm_Red!F:F, "")*$B$7) +
(XLOOKUP(L71, ACP_Norm_Red!A:A, ACP_Norm_Red!G:G, "")*$B$8) +
(XLOOKUP(L71, ACP_Norm_Red!A:A, ACP_Norm_Red!H:H, "")*$B$9)</f>
        <v>0.6702892901</v>
      </c>
      <c r="N71" s="3">
        <f t="array" ref="N71">(XLOOKUP(L71, ACP_Norm_Red!A:A, ACP_Norm_Red!B:B, "")*$C$3) + 
(XLOOKUP(L71, ACP_Norm_Red!A:A, ACP_Norm_Red!C:C, "")*$C$4) + 
(XLOOKUP(L71, ACP_Norm_Red!A:A, ACP_Norm_Red!D:D, "")*$C$5) +
(XLOOKUP(L71, ACP_Norm_Red!A:A, ACP_Norm_Red!E:E, "")*$C$6) +
(XLOOKUP(L71, ACP_Norm_Red!A:A, ACP_Norm_Red!F:F, "")*$C$7) +
(XLOOKUP(L71, ACP_Norm_Red!A:A, ACP_Norm_Red!G:G, "")*$C$8) +
(XLOOKUP(L71, ACP_Norm_Red!A:A, ACP_Norm_Red!H:H, "")*$C$9)</f>
        <v>0.7140918928</v>
      </c>
      <c r="O71" s="3">
        <f t="array" ref="O71">(XLOOKUP(L71, ACP_Norm_Red!A:A, ACP_Norm_Red!B:B, "")*$D$3) + 
(XLOOKUP(L71, ACP_Norm_Red!A:A, ACP_Norm_Red!C:C, "")*$D$4) + 
(XLOOKUP(L71, ACP_Norm_Red!A:A, ACP_Norm_Red!D:D, "")*$D$5) +
(XLOOKUP(L71, ACP_Norm_Red!A:A, ACP_Norm_Red!E:E, "")*$D$6) +
(XLOOKUP(L71, ACP_Norm_Red!A:A, ACP_Norm_Red!F:F, "")*$D$7) +
(XLOOKUP(L71, ACP_Norm_Red!A:A, ACP_Norm_Red!G:G, "")*$D$8) +
(XLOOKUP(L71, ACP_Norm_Red!A:A, ACP_Norm_Red!H:H, "")*$D$9)</f>
        <v>-0.5898409503</v>
      </c>
    </row>
    <row r="72">
      <c r="L72" s="15" t="str">
        <f>'Récap'!A66</f>
        <v>ea47fdcc277117bd663900f36ab09bad41ea1af083ccbc63647b5838e1056ebc</v>
      </c>
      <c r="M72" s="3">
        <f t="array" ref="M72">(XLOOKUP(L72, ACP_Norm_Red!A:A, ACP_Norm_Red!B:B, "")*$B$3) + 
(XLOOKUP(L72, ACP_Norm_Red!A:A, ACP_Norm_Red!C:C, "")*$B$4) + 
(XLOOKUP(L72, ACP_Norm_Red!A:A, ACP_Norm_Red!D:D, "")*$B$5) +
(XLOOKUP(L72, ACP_Norm_Red!A:A, ACP_Norm_Red!E:E, "")*$B$6) +
(XLOOKUP(L72, ACP_Norm_Red!A:A, ACP_Norm_Red!F:F, "")*$B$7) +
(XLOOKUP(L72, ACP_Norm_Red!A:A, ACP_Norm_Red!G:G, "")*$B$8) +
(XLOOKUP(L72, ACP_Norm_Red!A:A, ACP_Norm_Red!H:H, "")*$B$9)</f>
        <v>1.998344258</v>
      </c>
      <c r="N72" s="3">
        <f t="array" ref="N72">(XLOOKUP(L72, ACP_Norm_Red!A:A, ACP_Norm_Red!B:B, "")*$C$3) + 
(XLOOKUP(L72, ACP_Norm_Red!A:A, ACP_Norm_Red!C:C, "")*$C$4) + 
(XLOOKUP(L72, ACP_Norm_Red!A:A, ACP_Norm_Red!D:D, "")*$C$5) +
(XLOOKUP(L72, ACP_Norm_Red!A:A, ACP_Norm_Red!E:E, "")*$C$6) +
(XLOOKUP(L72, ACP_Norm_Red!A:A, ACP_Norm_Red!F:F, "")*$C$7) +
(XLOOKUP(L72, ACP_Norm_Red!A:A, ACP_Norm_Red!G:G, "")*$C$8) +
(XLOOKUP(L72, ACP_Norm_Red!A:A, ACP_Norm_Red!H:H, "")*$C$9)</f>
        <v>-1.676999107</v>
      </c>
      <c r="O72" s="3">
        <f t="array" ref="O72">(XLOOKUP(L72, ACP_Norm_Red!A:A, ACP_Norm_Red!B:B, "")*$D$3) + 
(XLOOKUP(L72, ACP_Norm_Red!A:A, ACP_Norm_Red!C:C, "")*$D$4) + 
(XLOOKUP(L72, ACP_Norm_Red!A:A, ACP_Norm_Red!D:D, "")*$D$5) +
(XLOOKUP(L72, ACP_Norm_Red!A:A, ACP_Norm_Red!E:E, "")*$D$6) +
(XLOOKUP(L72, ACP_Norm_Red!A:A, ACP_Norm_Red!F:F, "")*$D$7) +
(XLOOKUP(L72, ACP_Norm_Red!A:A, ACP_Norm_Red!G:G, "")*$D$8) +
(XLOOKUP(L72, ACP_Norm_Red!A:A, ACP_Norm_Red!H:H, "")*$D$9)</f>
        <v>-0.7944112195</v>
      </c>
    </row>
    <row r="73">
      <c r="L73" s="15" t="str">
        <f>'Récap'!A29</f>
        <v>5e8589d4cd67c4b88f84e378d72875ccd07de5c9e20cc666bbf217de9d3567b4</v>
      </c>
      <c r="M73" s="3">
        <f t="array" ref="M73">(XLOOKUP(L73, ACP_Norm_Red!A:A, ACP_Norm_Red!B:B, "")*$B$3) + 
(XLOOKUP(L73, ACP_Norm_Red!A:A, ACP_Norm_Red!C:C, "")*$B$4) + 
(XLOOKUP(L73, ACP_Norm_Red!A:A, ACP_Norm_Red!D:D, "")*$B$5) +
(XLOOKUP(L73, ACP_Norm_Red!A:A, ACP_Norm_Red!E:E, "")*$B$6) +
(XLOOKUP(L73, ACP_Norm_Red!A:A, ACP_Norm_Red!F:F, "")*$B$7) +
(XLOOKUP(L73, ACP_Norm_Red!A:A, ACP_Norm_Red!G:G, "")*$B$8) +
(XLOOKUP(L73, ACP_Norm_Red!A:A, ACP_Norm_Red!H:H, "")*$B$9)</f>
        <v>2.289044194</v>
      </c>
      <c r="N73" s="3">
        <f t="array" ref="N73">(XLOOKUP(L73, ACP_Norm_Red!A:A, ACP_Norm_Red!B:B, "")*$C$3) + 
(XLOOKUP(L73, ACP_Norm_Red!A:A, ACP_Norm_Red!C:C, "")*$C$4) + 
(XLOOKUP(L73, ACP_Norm_Red!A:A, ACP_Norm_Red!D:D, "")*$C$5) +
(XLOOKUP(L73, ACP_Norm_Red!A:A, ACP_Norm_Red!E:E, "")*$C$6) +
(XLOOKUP(L73, ACP_Norm_Red!A:A, ACP_Norm_Red!F:F, "")*$C$7) +
(XLOOKUP(L73, ACP_Norm_Red!A:A, ACP_Norm_Red!G:G, "")*$C$8) +
(XLOOKUP(L73, ACP_Norm_Red!A:A, ACP_Norm_Red!H:H, "")*$C$9)</f>
        <v>0.2254034643</v>
      </c>
      <c r="O73" s="3">
        <f t="array" ref="O73">(XLOOKUP(L73, ACP_Norm_Red!A:A, ACP_Norm_Red!B:B, "")*$D$3) + 
(XLOOKUP(L73, ACP_Norm_Red!A:A, ACP_Norm_Red!C:C, "")*$D$4) + 
(XLOOKUP(L73, ACP_Norm_Red!A:A, ACP_Norm_Red!D:D, "")*$D$5) +
(XLOOKUP(L73, ACP_Norm_Red!A:A, ACP_Norm_Red!E:E, "")*$D$6) +
(XLOOKUP(L73, ACP_Norm_Red!A:A, ACP_Norm_Red!F:F, "")*$D$7) +
(XLOOKUP(L73, ACP_Norm_Red!A:A, ACP_Norm_Red!G:G, "")*$D$8) +
(XLOOKUP(L73, ACP_Norm_Red!A:A, ACP_Norm_Red!H:H, "")*$D$9)</f>
        <v>-1.226376435</v>
      </c>
    </row>
    <row r="74">
      <c r="L74" s="15" t="str">
        <f>'Récap'!A28</f>
        <v>8c496c831c776415f7491e6de8457bb88c62eefeff270c8e0dbec39b78b9413d</v>
      </c>
      <c r="M74" s="3">
        <f t="array" ref="M74">(XLOOKUP(L74, ACP_Norm_Red!A:A, ACP_Norm_Red!B:B, "")*$B$3) + 
(XLOOKUP(L74, ACP_Norm_Red!A:A, ACP_Norm_Red!C:C, "")*$B$4) + 
(XLOOKUP(L74, ACP_Norm_Red!A:A, ACP_Norm_Red!D:D, "")*$B$5) +
(XLOOKUP(L74, ACP_Norm_Red!A:A, ACP_Norm_Red!E:E, "")*$B$6) +
(XLOOKUP(L74, ACP_Norm_Red!A:A, ACP_Norm_Red!F:F, "")*$B$7) +
(XLOOKUP(L74, ACP_Norm_Red!A:A, ACP_Norm_Red!G:G, "")*$B$8) +
(XLOOKUP(L74, ACP_Norm_Red!A:A, ACP_Norm_Red!H:H, "")*$B$9)</f>
        <v>1.869468708</v>
      </c>
      <c r="N74" s="3">
        <f t="array" ref="N74">(XLOOKUP(L74, ACP_Norm_Red!A:A, ACP_Norm_Red!B:B, "")*$C$3) + 
(XLOOKUP(L74, ACP_Norm_Red!A:A, ACP_Norm_Red!C:C, "")*$C$4) + 
(XLOOKUP(L74, ACP_Norm_Red!A:A, ACP_Norm_Red!D:D, "")*$C$5) +
(XLOOKUP(L74, ACP_Norm_Red!A:A, ACP_Norm_Red!E:E, "")*$C$6) +
(XLOOKUP(L74, ACP_Norm_Red!A:A, ACP_Norm_Red!F:F, "")*$C$7) +
(XLOOKUP(L74, ACP_Norm_Red!A:A, ACP_Norm_Red!G:G, "")*$C$8) +
(XLOOKUP(L74, ACP_Norm_Red!A:A, ACP_Norm_Red!H:H, "")*$C$9)</f>
        <v>0.9400465826</v>
      </c>
      <c r="O74" s="3">
        <f t="array" ref="O74">(XLOOKUP(L74, ACP_Norm_Red!A:A, ACP_Norm_Red!B:B, "")*$D$3) + 
(XLOOKUP(L74, ACP_Norm_Red!A:A, ACP_Norm_Red!C:C, "")*$D$4) + 
(XLOOKUP(L74, ACP_Norm_Red!A:A, ACP_Norm_Red!D:D, "")*$D$5) +
(XLOOKUP(L74, ACP_Norm_Red!A:A, ACP_Norm_Red!E:E, "")*$D$6) +
(XLOOKUP(L74, ACP_Norm_Red!A:A, ACP_Norm_Red!F:F, "")*$D$7) +
(XLOOKUP(L74, ACP_Norm_Red!A:A, ACP_Norm_Red!G:G, "")*$D$8) +
(XLOOKUP(L74, ACP_Norm_Red!A:A, ACP_Norm_Red!H:H, "")*$D$9)</f>
        <v>0.3584056084</v>
      </c>
    </row>
    <row r="75">
      <c r="L75" s="15" t="str">
        <f>'Récap'!A105</f>
        <v>aff3f9448ca917cc6f9b0fa8f92a2dadcee4f890337259421ce866e71ff22c49</v>
      </c>
      <c r="M75" s="3">
        <f t="array" ref="M75">(XLOOKUP(L75, ACP_Norm_Red!A:A, ACP_Norm_Red!B:B, "")*$B$3) + 
(XLOOKUP(L75, ACP_Norm_Red!A:A, ACP_Norm_Red!C:C, "")*$B$4) + 
(XLOOKUP(L75, ACP_Norm_Red!A:A, ACP_Norm_Red!D:D, "")*$B$5) +
(XLOOKUP(L75, ACP_Norm_Red!A:A, ACP_Norm_Red!E:E, "")*$B$6) +
(XLOOKUP(L75, ACP_Norm_Red!A:A, ACP_Norm_Red!F:F, "")*$B$7) +
(XLOOKUP(L75, ACP_Norm_Red!A:A, ACP_Norm_Red!G:G, "")*$B$8) +
(XLOOKUP(L75, ACP_Norm_Red!A:A, ACP_Norm_Red!H:H, "")*$B$9)</f>
        <v>-1.039139912</v>
      </c>
      <c r="N75" s="3">
        <f t="array" ref="N75">(XLOOKUP(L75, ACP_Norm_Red!A:A, ACP_Norm_Red!B:B, "")*$C$3) + 
(XLOOKUP(L75, ACP_Norm_Red!A:A, ACP_Norm_Red!C:C, "")*$C$4) + 
(XLOOKUP(L75, ACP_Norm_Red!A:A, ACP_Norm_Red!D:D, "")*$C$5) +
(XLOOKUP(L75, ACP_Norm_Red!A:A, ACP_Norm_Red!E:E, "")*$C$6) +
(XLOOKUP(L75, ACP_Norm_Red!A:A, ACP_Norm_Red!F:F, "")*$C$7) +
(XLOOKUP(L75, ACP_Norm_Red!A:A, ACP_Norm_Red!G:G, "")*$C$8) +
(XLOOKUP(L75, ACP_Norm_Red!A:A, ACP_Norm_Red!H:H, "")*$C$9)</f>
        <v>0.2405175068</v>
      </c>
      <c r="O75" s="3">
        <f t="array" ref="O75">(XLOOKUP(L75, ACP_Norm_Red!A:A, ACP_Norm_Red!B:B, "")*$D$3) + 
(XLOOKUP(L75, ACP_Norm_Red!A:A, ACP_Norm_Red!C:C, "")*$D$4) + 
(XLOOKUP(L75, ACP_Norm_Red!A:A, ACP_Norm_Red!D:D, "")*$D$5) +
(XLOOKUP(L75, ACP_Norm_Red!A:A, ACP_Norm_Red!E:E, "")*$D$6) +
(XLOOKUP(L75, ACP_Norm_Red!A:A, ACP_Norm_Red!F:F, "")*$D$7) +
(XLOOKUP(L75, ACP_Norm_Red!A:A, ACP_Norm_Red!G:G, "")*$D$8) +
(XLOOKUP(L75, ACP_Norm_Red!A:A, ACP_Norm_Red!H:H, "")*$D$9)</f>
        <v>0.1799426867</v>
      </c>
    </row>
    <row r="76">
      <c r="L76" s="15" t="str">
        <f>'Récap'!A103</f>
        <v>3d85bc081b5cbae4e23792cd67c1c0fd9af811e86418a20d777c3fbe812ba910</v>
      </c>
      <c r="M76" s="3">
        <f t="array" ref="M76">(XLOOKUP(L76, ACP_Norm_Red!A:A, ACP_Norm_Red!B:B, "")*$B$3) + 
(XLOOKUP(L76, ACP_Norm_Red!A:A, ACP_Norm_Red!C:C, "")*$B$4) + 
(XLOOKUP(L76, ACP_Norm_Red!A:A, ACP_Norm_Red!D:D, "")*$B$5) +
(XLOOKUP(L76, ACP_Norm_Red!A:A, ACP_Norm_Red!E:E, "")*$B$6) +
(XLOOKUP(L76, ACP_Norm_Red!A:A, ACP_Norm_Red!F:F, "")*$B$7) +
(XLOOKUP(L76, ACP_Norm_Red!A:A, ACP_Norm_Red!G:G, "")*$B$8) +
(XLOOKUP(L76, ACP_Norm_Red!A:A, ACP_Norm_Red!H:H, "")*$B$9)</f>
        <v>2.779310134</v>
      </c>
      <c r="N76" s="3">
        <f t="array" ref="N76">(XLOOKUP(L76, ACP_Norm_Red!A:A, ACP_Norm_Red!B:B, "")*$C$3) + 
(XLOOKUP(L76, ACP_Norm_Red!A:A, ACP_Norm_Red!C:C, "")*$C$4) + 
(XLOOKUP(L76, ACP_Norm_Red!A:A, ACP_Norm_Red!D:D, "")*$C$5) +
(XLOOKUP(L76, ACP_Norm_Red!A:A, ACP_Norm_Red!E:E, "")*$C$6) +
(XLOOKUP(L76, ACP_Norm_Red!A:A, ACP_Norm_Red!F:F, "")*$C$7) +
(XLOOKUP(L76, ACP_Norm_Red!A:A, ACP_Norm_Red!G:G, "")*$C$8) +
(XLOOKUP(L76, ACP_Norm_Red!A:A, ACP_Norm_Red!H:H, "")*$C$9)</f>
        <v>0.1211603083</v>
      </c>
      <c r="O76" s="3">
        <f t="array" ref="O76">(XLOOKUP(L76, ACP_Norm_Red!A:A, ACP_Norm_Red!B:B, "")*$D$3) + 
(XLOOKUP(L76, ACP_Norm_Red!A:A, ACP_Norm_Red!C:C, "")*$D$4) + 
(XLOOKUP(L76, ACP_Norm_Red!A:A, ACP_Norm_Red!D:D, "")*$D$5) +
(XLOOKUP(L76, ACP_Norm_Red!A:A, ACP_Norm_Red!E:E, "")*$D$6) +
(XLOOKUP(L76, ACP_Norm_Red!A:A, ACP_Norm_Red!F:F, "")*$D$7) +
(XLOOKUP(L76, ACP_Norm_Red!A:A, ACP_Norm_Red!G:G, "")*$D$8) +
(XLOOKUP(L76, ACP_Norm_Red!A:A, ACP_Norm_Red!H:H, "")*$D$9)</f>
        <v>0.9206150654</v>
      </c>
    </row>
    <row r="77">
      <c r="L77" s="15" t="str">
        <f>'Récap'!A111</f>
        <v>4225b96eae6636e51ed4b87746263b9e5d0e927d67326324fbf1544230fa6fb8</v>
      </c>
      <c r="M77" s="3">
        <f t="array" ref="M77">(XLOOKUP(L77, ACP_Norm_Red!A:A, ACP_Norm_Red!B:B, "")*$B$3) + 
(XLOOKUP(L77, ACP_Norm_Red!A:A, ACP_Norm_Red!C:C, "")*$B$4) + 
(XLOOKUP(L77, ACP_Norm_Red!A:A, ACP_Norm_Red!D:D, "")*$B$5) +
(XLOOKUP(L77, ACP_Norm_Red!A:A, ACP_Norm_Red!E:E, "")*$B$6) +
(XLOOKUP(L77, ACP_Norm_Red!A:A, ACP_Norm_Red!F:F, "")*$B$7) +
(XLOOKUP(L77, ACP_Norm_Red!A:A, ACP_Norm_Red!G:G, "")*$B$8) +
(XLOOKUP(L77, ACP_Norm_Red!A:A, ACP_Norm_Red!H:H, "")*$B$9)</f>
        <v>0.6142462801</v>
      </c>
      <c r="N77" s="3">
        <f t="array" ref="N77">(XLOOKUP(L77, ACP_Norm_Red!A:A, ACP_Norm_Red!B:B, "")*$C$3) + 
(XLOOKUP(L77, ACP_Norm_Red!A:A, ACP_Norm_Red!C:C, "")*$C$4) + 
(XLOOKUP(L77, ACP_Norm_Red!A:A, ACP_Norm_Red!D:D, "")*$C$5) +
(XLOOKUP(L77, ACP_Norm_Red!A:A, ACP_Norm_Red!E:E, "")*$C$6) +
(XLOOKUP(L77, ACP_Norm_Red!A:A, ACP_Norm_Red!F:F, "")*$C$7) +
(XLOOKUP(L77, ACP_Norm_Red!A:A, ACP_Norm_Red!G:G, "")*$C$8) +
(XLOOKUP(L77, ACP_Norm_Red!A:A, ACP_Norm_Red!H:H, "")*$C$9)</f>
        <v>-1.450884308</v>
      </c>
      <c r="O77" s="3">
        <f t="array" ref="O77">(XLOOKUP(L77, ACP_Norm_Red!A:A, ACP_Norm_Red!B:B, "")*$D$3) + 
(XLOOKUP(L77, ACP_Norm_Red!A:A, ACP_Norm_Red!C:C, "")*$D$4) + 
(XLOOKUP(L77, ACP_Norm_Red!A:A, ACP_Norm_Red!D:D, "")*$D$5) +
(XLOOKUP(L77, ACP_Norm_Red!A:A, ACP_Norm_Red!E:E, "")*$D$6) +
(XLOOKUP(L77, ACP_Norm_Red!A:A, ACP_Norm_Red!F:F, "")*$D$7) +
(XLOOKUP(L77, ACP_Norm_Red!A:A, ACP_Norm_Red!G:G, "")*$D$8) +
(XLOOKUP(L77, ACP_Norm_Red!A:A, ACP_Norm_Red!H:H, "")*$D$9)</f>
        <v>0.4542956881</v>
      </c>
    </row>
    <row r="78">
      <c r="L78" s="15" t="str">
        <f>'Récap'!A110</f>
        <v>a1437f4d7c5982c950cc3bb1cfab162aa1470eb7263b45d865b404015088558b</v>
      </c>
      <c r="M78" s="3">
        <f t="array" ref="M78">(XLOOKUP(L78, ACP_Norm_Red!A:A, ACP_Norm_Red!B:B, "")*$B$3) + 
(XLOOKUP(L78, ACP_Norm_Red!A:A, ACP_Norm_Red!C:C, "")*$B$4) + 
(XLOOKUP(L78, ACP_Norm_Red!A:A, ACP_Norm_Red!D:D, "")*$B$5) +
(XLOOKUP(L78, ACP_Norm_Red!A:A, ACP_Norm_Red!E:E, "")*$B$6) +
(XLOOKUP(L78, ACP_Norm_Red!A:A, ACP_Norm_Red!F:F, "")*$B$7) +
(XLOOKUP(L78, ACP_Norm_Red!A:A, ACP_Norm_Red!G:G, "")*$B$8) +
(XLOOKUP(L78, ACP_Norm_Red!A:A, ACP_Norm_Red!H:H, "")*$B$9)</f>
        <v>1.968685521</v>
      </c>
      <c r="N78" s="3">
        <f t="array" ref="N78">(XLOOKUP(L78, ACP_Norm_Red!A:A, ACP_Norm_Red!B:B, "")*$C$3) + 
(XLOOKUP(L78, ACP_Norm_Red!A:A, ACP_Norm_Red!C:C, "")*$C$4) + 
(XLOOKUP(L78, ACP_Norm_Red!A:A, ACP_Norm_Red!D:D, "")*$C$5) +
(XLOOKUP(L78, ACP_Norm_Red!A:A, ACP_Norm_Red!E:E, "")*$C$6) +
(XLOOKUP(L78, ACP_Norm_Red!A:A, ACP_Norm_Red!F:F, "")*$C$7) +
(XLOOKUP(L78, ACP_Norm_Red!A:A, ACP_Norm_Red!G:G, "")*$C$8) +
(XLOOKUP(L78, ACP_Norm_Red!A:A, ACP_Norm_Red!H:H, "")*$C$9)</f>
        <v>0.7957544551</v>
      </c>
      <c r="O78" s="3">
        <f t="array" ref="O78">(XLOOKUP(L78, ACP_Norm_Red!A:A, ACP_Norm_Red!B:B, "")*$D$3) + 
(XLOOKUP(L78, ACP_Norm_Red!A:A, ACP_Norm_Red!C:C, "")*$D$4) + 
(XLOOKUP(L78, ACP_Norm_Red!A:A, ACP_Norm_Red!D:D, "")*$D$5) +
(XLOOKUP(L78, ACP_Norm_Red!A:A, ACP_Norm_Red!E:E, "")*$D$6) +
(XLOOKUP(L78, ACP_Norm_Red!A:A, ACP_Norm_Red!F:F, "")*$D$7) +
(XLOOKUP(L78, ACP_Norm_Red!A:A, ACP_Norm_Red!G:G, "")*$D$8) +
(XLOOKUP(L78, ACP_Norm_Red!A:A, ACP_Norm_Red!H:H, "")*$D$9)</f>
        <v>1.395789031</v>
      </c>
    </row>
    <row r="79">
      <c r="L79" s="15" t="str">
        <f>'Récap'!A31</f>
        <v>8630de5bd303be8b63ba99b787f0f5ed4422765c8917b234cb8a2af6b762ca1d</v>
      </c>
      <c r="M79" s="3">
        <f t="array" ref="M79">(XLOOKUP(L79, ACP_Norm_Red!A:A, ACP_Norm_Red!B:B, "")*$B$3) + 
(XLOOKUP(L79, ACP_Norm_Red!A:A, ACP_Norm_Red!C:C, "")*$B$4) + 
(XLOOKUP(L79, ACP_Norm_Red!A:A, ACP_Norm_Red!D:D, "")*$B$5) +
(XLOOKUP(L79, ACP_Norm_Red!A:A, ACP_Norm_Red!E:E, "")*$B$6) +
(XLOOKUP(L79, ACP_Norm_Red!A:A, ACP_Norm_Red!F:F, "")*$B$7) +
(XLOOKUP(L79, ACP_Norm_Red!A:A, ACP_Norm_Red!G:G, "")*$B$8) +
(XLOOKUP(L79, ACP_Norm_Red!A:A, ACP_Norm_Red!H:H, "")*$B$9)</f>
        <v>-1.313433142</v>
      </c>
      <c r="N79" s="3">
        <f t="array" ref="N79">(XLOOKUP(L79, ACP_Norm_Red!A:A, ACP_Norm_Red!B:B, "")*$C$3) + 
(XLOOKUP(L79, ACP_Norm_Red!A:A, ACP_Norm_Red!C:C, "")*$C$4) + 
(XLOOKUP(L79, ACP_Norm_Red!A:A, ACP_Norm_Red!D:D, "")*$C$5) +
(XLOOKUP(L79, ACP_Norm_Red!A:A, ACP_Norm_Red!E:E, "")*$C$6) +
(XLOOKUP(L79, ACP_Norm_Red!A:A, ACP_Norm_Red!F:F, "")*$C$7) +
(XLOOKUP(L79, ACP_Norm_Red!A:A, ACP_Norm_Red!G:G, "")*$C$8) +
(XLOOKUP(L79, ACP_Norm_Red!A:A, ACP_Norm_Red!H:H, "")*$C$9)</f>
        <v>1.577840344</v>
      </c>
      <c r="O79" s="3">
        <f t="array" ref="O79">(XLOOKUP(L79, ACP_Norm_Red!A:A, ACP_Norm_Red!B:B, "")*$D$3) + 
(XLOOKUP(L79, ACP_Norm_Red!A:A, ACP_Norm_Red!C:C, "")*$D$4) + 
(XLOOKUP(L79, ACP_Norm_Red!A:A, ACP_Norm_Red!D:D, "")*$D$5) +
(XLOOKUP(L79, ACP_Norm_Red!A:A, ACP_Norm_Red!E:E, "")*$D$6) +
(XLOOKUP(L79, ACP_Norm_Red!A:A, ACP_Norm_Red!F:F, "")*$D$7) +
(XLOOKUP(L79, ACP_Norm_Red!A:A, ACP_Norm_Red!G:G, "")*$D$8) +
(XLOOKUP(L79, ACP_Norm_Red!A:A, ACP_Norm_Red!H:H, "")*$D$9)</f>
        <v>0.3217252109</v>
      </c>
    </row>
    <row r="80">
      <c r="L80" s="15" t="str">
        <f>'Récap'!A95</f>
        <v>8dd7d47134248a03ffb88fe97e5ab8501d976a5d539ff01c30727b79ede1424f</v>
      </c>
      <c r="M80" s="3">
        <f t="array" ref="M80">(XLOOKUP(L80, ACP_Norm_Red!A:A, ACP_Norm_Red!B:B, "")*$B$3) + 
(XLOOKUP(L80, ACP_Norm_Red!A:A, ACP_Norm_Red!C:C, "")*$B$4) + 
(XLOOKUP(L80, ACP_Norm_Red!A:A, ACP_Norm_Red!D:D, "")*$B$5) +
(XLOOKUP(L80, ACP_Norm_Red!A:A, ACP_Norm_Red!E:E, "")*$B$6) +
(XLOOKUP(L80, ACP_Norm_Red!A:A, ACP_Norm_Red!F:F, "")*$B$7) +
(XLOOKUP(L80, ACP_Norm_Red!A:A, ACP_Norm_Red!G:G, "")*$B$8) +
(XLOOKUP(L80, ACP_Norm_Red!A:A, ACP_Norm_Red!H:H, "")*$B$9)</f>
        <v>-1.78035311</v>
      </c>
      <c r="N80" s="3">
        <f t="array" ref="N80">(XLOOKUP(L80, ACP_Norm_Red!A:A, ACP_Norm_Red!B:B, "")*$C$3) + 
(XLOOKUP(L80, ACP_Norm_Red!A:A, ACP_Norm_Red!C:C, "")*$C$4) + 
(XLOOKUP(L80, ACP_Norm_Red!A:A, ACP_Norm_Red!D:D, "")*$C$5) +
(XLOOKUP(L80, ACP_Norm_Red!A:A, ACP_Norm_Red!E:E, "")*$C$6) +
(XLOOKUP(L80, ACP_Norm_Red!A:A, ACP_Norm_Red!F:F, "")*$C$7) +
(XLOOKUP(L80, ACP_Norm_Red!A:A, ACP_Norm_Red!G:G, "")*$C$8) +
(XLOOKUP(L80, ACP_Norm_Red!A:A, ACP_Norm_Red!H:H, "")*$C$9)</f>
        <v>1.296226786</v>
      </c>
      <c r="O80" s="3">
        <f t="array" ref="O80">(XLOOKUP(L80, ACP_Norm_Red!A:A, ACP_Norm_Red!B:B, "")*$D$3) + 
(XLOOKUP(L80, ACP_Norm_Red!A:A, ACP_Norm_Red!C:C, "")*$D$4) + 
(XLOOKUP(L80, ACP_Norm_Red!A:A, ACP_Norm_Red!D:D, "")*$D$5) +
(XLOOKUP(L80, ACP_Norm_Red!A:A, ACP_Norm_Red!E:E, "")*$D$6) +
(XLOOKUP(L80, ACP_Norm_Red!A:A, ACP_Norm_Red!F:F, "")*$D$7) +
(XLOOKUP(L80, ACP_Norm_Red!A:A, ACP_Norm_Red!G:G, "")*$D$8) +
(XLOOKUP(L80, ACP_Norm_Red!A:A, ACP_Norm_Red!H:H, "")*$D$9)</f>
        <v>-0.4900598418</v>
      </c>
    </row>
    <row r="81">
      <c r="L81" s="15" t="str">
        <f>'Récap'!A98</f>
        <v>bb0c30cc3cd79a7b954b6a58338b43ab5c258562b868a12e26fa432eed432da9</v>
      </c>
      <c r="M81" s="3">
        <f t="array" ref="M81">(XLOOKUP(L81, ACP_Norm_Red!A:A, ACP_Norm_Red!B:B, "")*$B$3) + 
(XLOOKUP(L81, ACP_Norm_Red!A:A, ACP_Norm_Red!C:C, "")*$B$4) + 
(XLOOKUP(L81, ACP_Norm_Red!A:A, ACP_Norm_Red!D:D, "")*$B$5) +
(XLOOKUP(L81, ACP_Norm_Red!A:A, ACP_Norm_Red!E:E, "")*$B$6) +
(XLOOKUP(L81, ACP_Norm_Red!A:A, ACP_Norm_Red!F:F, "")*$B$7) +
(XLOOKUP(L81, ACP_Norm_Red!A:A, ACP_Norm_Red!G:G, "")*$B$8) +
(XLOOKUP(L81, ACP_Norm_Red!A:A, ACP_Norm_Red!H:H, "")*$B$9)</f>
        <v>-1.672001183</v>
      </c>
      <c r="N81" s="3">
        <f t="array" ref="N81">(XLOOKUP(L81, ACP_Norm_Red!A:A, ACP_Norm_Red!B:B, "")*$C$3) + 
(XLOOKUP(L81, ACP_Norm_Red!A:A, ACP_Norm_Red!C:C, "")*$C$4) + 
(XLOOKUP(L81, ACP_Norm_Red!A:A, ACP_Norm_Red!D:D, "")*$C$5) +
(XLOOKUP(L81, ACP_Norm_Red!A:A, ACP_Norm_Red!E:E, "")*$C$6) +
(XLOOKUP(L81, ACP_Norm_Red!A:A, ACP_Norm_Red!F:F, "")*$C$7) +
(XLOOKUP(L81, ACP_Norm_Red!A:A, ACP_Norm_Red!G:G, "")*$C$8) +
(XLOOKUP(L81, ACP_Norm_Red!A:A, ACP_Norm_Red!H:H, "")*$C$9)</f>
        <v>-0.9411697308</v>
      </c>
      <c r="O81" s="3">
        <f t="array" ref="O81">(XLOOKUP(L81, ACP_Norm_Red!A:A, ACP_Norm_Red!B:B, "")*$D$3) + 
(XLOOKUP(L81, ACP_Norm_Red!A:A, ACP_Norm_Red!C:C, "")*$D$4) + 
(XLOOKUP(L81, ACP_Norm_Red!A:A, ACP_Norm_Red!D:D, "")*$D$5) +
(XLOOKUP(L81, ACP_Norm_Red!A:A, ACP_Norm_Red!E:E, "")*$D$6) +
(XLOOKUP(L81, ACP_Norm_Red!A:A, ACP_Norm_Red!F:F, "")*$D$7) +
(XLOOKUP(L81, ACP_Norm_Red!A:A, ACP_Norm_Red!G:G, "")*$D$8) +
(XLOOKUP(L81, ACP_Norm_Red!A:A, ACP_Norm_Red!H:H, "")*$D$9)</f>
        <v>0.7430264061</v>
      </c>
    </row>
    <row r="82">
      <c r="L82" s="15" t="str">
        <f>'Récap'!A99</f>
        <v>fcc829e7dd1db87335c46064982f06853c8a5c39399202b284952458b04f0d5d</v>
      </c>
      <c r="M82" s="3">
        <f t="array" ref="M82">(XLOOKUP(L82, ACP_Norm_Red!A:A, ACP_Norm_Red!B:B, "")*$B$3) + 
(XLOOKUP(L82, ACP_Norm_Red!A:A, ACP_Norm_Red!C:C, "")*$B$4) + 
(XLOOKUP(L82, ACP_Norm_Red!A:A, ACP_Norm_Red!D:D, "")*$B$5) +
(XLOOKUP(L82, ACP_Norm_Red!A:A, ACP_Norm_Red!E:E, "")*$B$6) +
(XLOOKUP(L82, ACP_Norm_Red!A:A, ACP_Norm_Red!F:F, "")*$B$7) +
(XLOOKUP(L82, ACP_Norm_Red!A:A, ACP_Norm_Red!G:G, "")*$B$8) +
(XLOOKUP(L82, ACP_Norm_Red!A:A, ACP_Norm_Red!H:H, "")*$B$9)</f>
        <v>0.9630072622</v>
      </c>
      <c r="N82" s="3">
        <f t="array" ref="N82">(XLOOKUP(L82, ACP_Norm_Red!A:A, ACP_Norm_Red!B:B, "")*$C$3) + 
(XLOOKUP(L82, ACP_Norm_Red!A:A, ACP_Norm_Red!C:C, "")*$C$4) + 
(XLOOKUP(L82, ACP_Norm_Red!A:A, ACP_Norm_Red!D:D, "")*$C$5) +
(XLOOKUP(L82, ACP_Norm_Red!A:A, ACP_Norm_Red!E:E, "")*$C$6) +
(XLOOKUP(L82, ACP_Norm_Red!A:A, ACP_Norm_Red!F:F, "")*$C$7) +
(XLOOKUP(L82, ACP_Norm_Red!A:A, ACP_Norm_Red!G:G, "")*$C$8) +
(XLOOKUP(L82, ACP_Norm_Red!A:A, ACP_Norm_Red!H:H, "")*$C$9)</f>
        <v>0.8695976769</v>
      </c>
      <c r="O82" s="3">
        <f t="array" ref="O82">(XLOOKUP(L82, ACP_Norm_Red!A:A, ACP_Norm_Red!B:B, "")*$D$3) + 
(XLOOKUP(L82, ACP_Norm_Red!A:A, ACP_Norm_Red!C:C, "")*$D$4) + 
(XLOOKUP(L82, ACP_Norm_Red!A:A, ACP_Norm_Red!D:D, "")*$D$5) +
(XLOOKUP(L82, ACP_Norm_Red!A:A, ACP_Norm_Red!E:E, "")*$D$6) +
(XLOOKUP(L82, ACP_Norm_Red!A:A, ACP_Norm_Red!F:F, "")*$D$7) +
(XLOOKUP(L82, ACP_Norm_Red!A:A, ACP_Norm_Red!G:G, "")*$D$8) +
(XLOOKUP(L82, ACP_Norm_Red!A:A, ACP_Norm_Red!H:H, "")*$D$9)</f>
        <v>-0.04703828941</v>
      </c>
    </row>
    <row r="83">
      <c r="L83" s="15" t="str">
        <f>'Récap'!A91</f>
        <v>73da0df025bd69a83446ff2c9628a7f2f1ff34bff9e343059e17e4d31a6218d3</v>
      </c>
      <c r="M83" s="3">
        <f t="array" ref="M83">(XLOOKUP(L83, ACP_Norm_Red!A:A, ACP_Norm_Red!B:B, "")*$B$3) + 
(XLOOKUP(L83, ACP_Norm_Red!A:A, ACP_Norm_Red!C:C, "")*$B$4) + 
(XLOOKUP(L83, ACP_Norm_Red!A:A, ACP_Norm_Red!D:D, "")*$B$5) +
(XLOOKUP(L83, ACP_Norm_Red!A:A, ACP_Norm_Red!E:E, "")*$B$6) +
(XLOOKUP(L83, ACP_Norm_Red!A:A, ACP_Norm_Red!F:F, "")*$B$7) +
(XLOOKUP(L83, ACP_Norm_Red!A:A, ACP_Norm_Red!G:G, "")*$B$8) +
(XLOOKUP(L83, ACP_Norm_Red!A:A, ACP_Norm_Red!H:H, "")*$B$9)</f>
        <v>-3.484449856</v>
      </c>
      <c r="N83" s="3">
        <f t="array" ref="N83">(XLOOKUP(L83, ACP_Norm_Red!A:A, ACP_Norm_Red!B:B, "")*$C$3) + 
(XLOOKUP(L83, ACP_Norm_Red!A:A, ACP_Norm_Red!C:C, "")*$C$4) + 
(XLOOKUP(L83, ACP_Norm_Red!A:A, ACP_Norm_Red!D:D, "")*$C$5) +
(XLOOKUP(L83, ACP_Norm_Red!A:A, ACP_Norm_Red!E:E, "")*$C$6) +
(XLOOKUP(L83, ACP_Norm_Red!A:A, ACP_Norm_Red!F:F, "")*$C$7) +
(XLOOKUP(L83, ACP_Norm_Red!A:A, ACP_Norm_Red!G:G, "")*$C$8) +
(XLOOKUP(L83, ACP_Norm_Red!A:A, ACP_Norm_Red!H:H, "")*$C$9)</f>
        <v>0.7596545069</v>
      </c>
      <c r="O83" s="3">
        <f t="array" ref="O83">(XLOOKUP(L83, ACP_Norm_Red!A:A, ACP_Norm_Red!B:B, "")*$D$3) + 
(XLOOKUP(L83, ACP_Norm_Red!A:A, ACP_Norm_Red!C:C, "")*$D$4) + 
(XLOOKUP(L83, ACP_Norm_Red!A:A, ACP_Norm_Red!D:D, "")*$D$5) +
(XLOOKUP(L83, ACP_Norm_Red!A:A, ACP_Norm_Red!E:E, "")*$D$6) +
(XLOOKUP(L83, ACP_Norm_Red!A:A, ACP_Norm_Red!F:F, "")*$D$7) +
(XLOOKUP(L83, ACP_Norm_Red!A:A, ACP_Norm_Red!G:G, "")*$D$8) +
(XLOOKUP(L83, ACP_Norm_Red!A:A, ACP_Norm_Red!H:H, "")*$D$9)</f>
        <v>0.1018303972</v>
      </c>
    </row>
    <row r="84">
      <c r="L84" s="15" t="str">
        <f>'Récap'!A100</f>
        <v>7018f9f84b61c5801779302689a34fef5b2e9d95f52479d9ef486efda2e55c21</v>
      </c>
      <c r="M84" s="3">
        <f t="array" ref="M84">(XLOOKUP(L84, ACP_Norm_Red!A:A, ACP_Norm_Red!B:B, "")*$B$3) + 
(XLOOKUP(L84, ACP_Norm_Red!A:A, ACP_Norm_Red!C:C, "")*$B$4) + 
(XLOOKUP(L84, ACP_Norm_Red!A:A, ACP_Norm_Red!D:D, "")*$B$5) +
(XLOOKUP(L84, ACP_Norm_Red!A:A, ACP_Norm_Red!E:E, "")*$B$6) +
(XLOOKUP(L84, ACP_Norm_Red!A:A, ACP_Norm_Red!F:F, "")*$B$7) +
(XLOOKUP(L84, ACP_Norm_Red!A:A, ACP_Norm_Red!G:G, "")*$B$8) +
(XLOOKUP(L84, ACP_Norm_Red!A:A, ACP_Norm_Red!H:H, "")*$B$9)</f>
        <v>-2.916356533</v>
      </c>
      <c r="N84" s="3">
        <f t="array" ref="N84">(XLOOKUP(L84, ACP_Norm_Red!A:A, ACP_Norm_Red!B:B, "")*$C$3) + 
(XLOOKUP(L84, ACP_Norm_Red!A:A, ACP_Norm_Red!C:C, "")*$C$4) + 
(XLOOKUP(L84, ACP_Norm_Red!A:A, ACP_Norm_Red!D:D, "")*$C$5) +
(XLOOKUP(L84, ACP_Norm_Red!A:A, ACP_Norm_Red!E:E, "")*$C$6) +
(XLOOKUP(L84, ACP_Norm_Red!A:A, ACP_Norm_Red!F:F, "")*$C$7) +
(XLOOKUP(L84, ACP_Norm_Red!A:A, ACP_Norm_Red!G:G, "")*$C$8) +
(XLOOKUP(L84, ACP_Norm_Red!A:A, ACP_Norm_Red!H:H, "")*$C$9)</f>
        <v>-0.5935904575</v>
      </c>
      <c r="O84" s="3">
        <f t="array" ref="O84">(XLOOKUP(L84, ACP_Norm_Red!A:A, ACP_Norm_Red!B:B, "")*$D$3) + 
(XLOOKUP(L84, ACP_Norm_Red!A:A, ACP_Norm_Red!C:C, "")*$D$4) + 
(XLOOKUP(L84, ACP_Norm_Red!A:A, ACP_Norm_Red!D:D, "")*$D$5) +
(XLOOKUP(L84, ACP_Norm_Red!A:A, ACP_Norm_Red!E:E, "")*$D$6) +
(XLOOKUP(L84, ACP_Norm_Red!A:A, ACP_Norm_Red!F:F, "")*$D$7) +
(XLOOKUP(L84, ACP_Norm_Red!A:A, ACP_Norm_Red!G:G, "")*$D$8) +
(XLOOKUP(L84, ACP_Norm_Red!A:A, ACP_Norm_Red!H:H, "")*$D$9)</f>
        <v>0.3438341232</v>
      </c>
    </row>
    <row r="85">
      <c r="L85" s="15" t="str">
        <f>'Récap'!A71</f>
        <v>aa3e744d9ea1bfef5bac5c29b695be41bbe453b6bf59bb5ff04d04fe3ddb9b7e</v>
      </c>
      <c r="M85" s="3">
        <f t="array" ref="M85">(XLOOKUP(L85, ACP_Norm_Red!A:A, ACP_Norm_Red!B:B, "")*$B$3) + 
(XLOOKUP(L85, ACP_Norm_Red!A:A, ACP_Norm_Red!C:C, "")*$B$4) + 
(XLOOKUP(L85, ACP_Norm_Red!A:A, ACP_Norm_Red!D:D, "")*$B$5) +
(XLOOKUP(L85, ACP_Norm_Red!A:A, ACP_Norm_Red!E:E, "")*$B$6) +
(XLOOKUP(L85, ACP_Norm_Red!A:A, ACP_Norm_Red!F:F, "")*$B$7) +
(XLOOKUP(L85, ACP_Norm_Red!A:A, ACP_Norm_Red!G:G, "")*$B$8) +
(XLOOKUP(L85, ACP_Norm_Red!A:A, ACP_Norm_Red!H:H, "")*$B$9)</f>
        <v>0.5968379858</v>
      </c>
      <c r="N85" s="3">
        <f t="array" ref="N85">(XLOOKUP(L85, ACP_Norm_Red!A:A, ACP_Norm_Red!B:B, "")*$C$3) + 
(XLOOKUP(L85, ACP_Norm_Red!A:A, ACP_Norm_Red!C:C, "")*$C$4) + 
(XLOOKUP(L85, ACP_Norm_Red!A:A, ACP_Norm_Red!D:D, "")*$C$5) +
(XLOOKUP(L85, ACP_Norm_Red!A:A, ACP_Norm_Red!E:E, "")*$C$6) +
(XLOOKUP(L85, ACP_Norm_Red!A:A, ACP_Norm_Red!F:F, "")*$C$7) +
(XLOOKUP(L85, ACP_Norm_Red!A:A, ACP_Norm_Red!G:G, "")*$C$8) +
(XLOOKUP(L85, ACP_Norm_Red!A:A, ACP_Norm_Red!H:H, "")*$C$9)</f>
        <v>1.601889109</v>
      </c>
      <c r="O85" s="3">
        <f t="array" ref="O85">(XLOOKUP(L85, ACP_Norm_Red!A:A, ACP_Norm_Red!B:B, "")*$D$3) + 
(XLOOKUP(L85, ACP_Norm_Red!A:A, ACP_Norm_Red!C:C, "")*$D$4) + 
(XLOOKUP(L85, ACP_Norm_Red!A:A, ACP_Norm_Red!D:D, "")*$D$5) +
(XLOOKUP(L85, ACP_Norm_Red!A:A, ACP_Norm_Red!E:E, "")*$D$6) +
(XLOOKUP(L85, ACP_Norm_Red!A:A, ACP_Norm_Red!F:F, "")*$D$7) +
(XLOOKUP(L85, ACP_Norm_Red!A:A, ACP_Norm_Red!G:G, "")*$D$8) +
(XLOOKUP(L85, ACP_Norm_Red!A:A, ACP_Norm_Red!H:H, "")*$D$9)</f>
        <v>-1.121212225</v>
      </c>
    </row>
    <row r="86">
      <c r="L86" s="15" t="str">
        <f>'Récap'!A93</f>
        <v>b2739ffce4a91e9880373035f1a135a3772577ebe8a9e985482de17ccedccefd</v>
      </c>
      <c r="M86" s="3">
        <f t="array" ref="M86">(XLOOKUP(L86, ACP_Norm_Red!A:A, ACP_Norm_Red!B:B, "")*$B$3) + 
(XLOOKUP(L86, ACP_Norm_Red!A:A, ACP_Norm_Red!C:C, "")*$B$4) + 
(XLOOKUP(L86, ACP_Norm_Red!A:A, ACP_Norm_Red!D:D, "")*$B$5) +
(XLOOKUP(L86, ACP_Norm_Red!A:A, ACP_Norm_Red!E:E, "")*$B$6) +
(XLOOKUP(L86, ACP_Norm_Red!A:A, ACP_Norm_Red!F:F, "")*$B$7) +
(XLOOKUP(L86, ACP_Norm_Red!A:A, ACP_Norm_Red!G:G, "")*$B$8) +
(XLOOKUP(L86, ACP_Norm_Red!A:A, ACP_Norm_Red!H:H, "")*$B$9)</f>
        <v>0.7279943642</v>
      </c>
      <c r="N86" s="3">
        <f t="array" ref="N86">(XLOOKUP(L86, ACP_Norm_Red!A:A, ACP_Norm_Red!B:B, "")*$C$3) + 
(XLOOKUP(L86, ACP_Norm_Red!A:A, ACP_Norm_Red!C:C, "")*$C$4) + 
(XLOOKUP(L86, ACP_Norm_Red!A:A, ACP_Norm_Red!D:D, "")*$C$5) +
(XLOOKUP(L86, ACP_Norm_Red!A:A, ACP_Norm_Red!E:E, "")*$C$6) +
(XLOOKUP(L86, ACP_Norm_Red!A:A, ACP_Norm_Red!F:F, "")*$C$7) +
(XLOOKUP(L86, ACP_Norm_Red!A:A, ACP_Norm_Red!G:G, "")*$C$8) +
(XLOOKUP(L86, ACP_Norm_Red!A:A, ACP_Norm_Red!H:H, "")*$C$9)</f>
        <v>2.2062507</v>
      </c>
      <c r="O86" s="3">
        <f t="array" ref="O86">(XLOOKUP(L86, ACP_Norm_Red!A:A, ACP_Norm_Red!B:B, "")*$D$3) + 
(XLOOKUP(L86, ACP_Norm_Red!A:A, ACP_Norm_Red!C:C, "")*$D$4) + 
(XLOOKUP(L86, ACP_Norm_Red!A:A, ACP_Norm_Red!D:D, "")*$D$5) +
(XLOOKUP(L86, ACP_Norm_Red!A:A, ACP_Norm_Red!E:E, "")*$D$6) +
(XLOOKUP(L86, ACP_Norm_Red!A:A, ACP_Norm_Red!F:F, "")*$D$7) +
(XLOOKUP(L86, ACP_Norm_Red!A:A, ACP_Norm_Red!G:G, "")*$D$8) +
(XLOOKUP(L86, ACP_Norm_Red!A:A, ACP_Norm_Red!H:H, "")*$D$9)</f>
        <v>0.19125316</v>
      </c>
    </row>
    <row r="87">
      <c r="L87" s="15" t="str">
        <f>'Récap'!A86</f>
        <v>a35833a67176bfc8c1457633e2e41ffb5e4bf6aac7127377e8b9881caf1cf52e</v>
      </c>
      <c r="M87" s="3">
        <f t="array" ref="M87">(XLOOKUP(L87, ACP_Norm_Red!A:A, ACP_Norm_Red!B:B, "")*$B$3) + 
(XLOOKUP(L87, ACP_Norm_Red!A:A, ACP_Norm_Red!C:C, "")*$B$4) + 
(XLOOKUP(L87, ACP_Norm_Red!A:A, ACP_Norm_Red!D:D, "")*$B$5) +
(XLOOKUP(L87, ACP_Norm_Red!A:A, ACP_Norm_Red!E:E, "")*$B$6) +
(XLOOKUP(L87, ACP_Norm_Red!A:A, ACP_Norm_Red!F:F, "")*$B$7) +
(XLOOKUP(L87, ACP_Norm_Red!A:A, ACP_Norm_Red!G:G, "")*$B$8) +
(XLOOKUP(L87, ACP_Norm_Red!A:A, ACP_Norm_Red!H:H, "")*$B$9)</f>
        <v>-2.076350046</v>
      </c>
      <c r="N87" s="3">
        <f t="array" ref="N87">(XLOOKUP(L87, ACP_Norm_Red!A:A, ACP_Norm_Red!B:B, "")*$C$3) + 
(XLOOKUP(L87, ACP_Norm_Red!A:A, ACP_Norm_Red!C:C, "")*$C$4) + 
(XLOOKUP(L87, ACP_Norm_Red!A:A, ACP_Norm_Red!D:D, "")*$C$5) +
(XLOOKUP(L87, ACP_Norm_Red!A:A, ACP_Norm_Red!E:E, "")*$C$6) +
(XLOOKUP(L87, ACP_Norm_Red!A:A, ACP_Norm_Red!F:F, "")*$C$7) +
(XLOOKUP(L87, ACP_Norm_Red!A:A, ACP_Norm_Red!G:G, "")*$C$8) +
(XLOOKUP(L87, ACP_Norm_Red!A:A, ACP_Norm_Red!H:H, "")*$C$9)</f>
        <v>-0.8382311068</v>
      </c>
      <c r="O87" s="3">
        <f t="array" ref="O87">(XLOOKUP(L87, ACP_Norm_Red!A:A, ACP_Norm_Red!B:B, "")*$D$3) + 
(XLOOKUP(L87, ACP_Norm_Red!A:A, ACP_Norm_Red!C:C, "")*$D$4) + 
(XLOOKUP(L87, ACP_Norm_Red!A:A, ACP_Norm_Red!D:D, "")*$D$5) +
(XLOOKUP(L87, ACP_Norm_Red!A:A, ACP_Norm_Red!E:E, "")*$D$6) +
(XLOOKUP(L87, ACP_Norm_Red!A:A, ACP_Norm_Red!F:F, "")*$D$7) +
(XLOOKUP(L87, ACP_Norm_Red!A:A, ACP_Norm_Red!G:G, "")*$D$8) +
(XLOOKUP(L87, ACP_Norm_Red!A:A, ACP_Norm_Red!H:H, "")*$D$9)</f>
        <v>0.657164078</v>
      </c>
    </row>
    <row r="88">
      <c r="L88" s="15" t="str">
        <f>'Récap'!A87</f>
        <v>6dd7cb5359f54edb9eb0becd33d19118d3e93e266ef7644cf7b9ad2b9ed1262d</v>
      </c>
      <c r="M88" s="3">
        <f t="array" ref="M88">(XLOOKUP(L88, ACP_Norm_Red!A:A, ACP_Norm_Red!B:B, "")*$B$3) + 
(XLOOKUP(L88, ACP_Norm_Red!A:A, ACP_Norm_Red!C:C, "")*$B$4) + 
(XLOOKUP(L88, ACP_Norm_Red!A:A, ACP_Norm_Red!D:D, "")*$B$5) +
(XLOOKUP(L88, ACP_Norm_Red!A:A, ACP_Norm_Red!E:E, "")*$B$6) +
(XLOOKUP(L88, ACP_Norm_Red!A:A, ACP_Norm_Red!F:F, "")*$B$7) +
(XLOOKUP(L88, ACP_Norm_Red!A:A, ACP_Norm_Red!G:G, "")*$B$8) +
(XLOOKUP(L88, ACP_Norm_Red!A:A, ACP_Norm_Red!H:H, "")*$B$9)</f>
        <v>-1.531410586</v>
      </c>
      <c r="N88" s="3">
        <f t="array" ref="N88">(XLOOKUP(L88, ACP_Norm_Red!A:A, ACP_Norm_Red!B:B, "")*$C$3) + 
(XLOOKUP(L88, ACP_Norm_Red!A:A, ACP_Norm_Red!C:C, "")*$C$4) + 
(XLOOKUP(L88, ACP_Norm_Red!A:A, ACP_Norm_Red!D:D, "")*$C$5) +
(XLOOKUP(L88, ACP_Norm_Red!A:A, ACP_Norm_Red!E:E, "")*$C$6) +
(XLOOKUP(L88, ACP_Norm_Red!A:A, ACP_Norm_Red!F:F, "")*$C$7) +
(XLOOKUP(L88, ACP_Norm_Red!A:A, ACP_Norm_Red!G:G, "")*$C$8) +
(XLOOKUP(L88, ACP_Norm_Red!A:A, ACP_Norm_Red!H:H, "")*$C$9)</f>
        <v>1.120028416</v>
      </c>
      <c r="O88" s="3">
        <f t="array" ref="O88">(XLOOKUP(L88, ACP_Norm_Red!A:A, ACP_Norm_Red!B:B, "")*$D$3) + 
(XLOOKUP(L88, ACP_Norm_Red!A:A, ACP_Norm_Red!C:C, "")*$D$4) + 
(XLOOKUP(L88, ACP_Norm_Red!A:A, ACP_Norm_Red!D:D, "")*$D$5) +
(XLOOKUP(L88, ACP_Norm_Red!A:A, ACP_Norm_Red!E:E, "")*$D$6) +
(XLOOKUP(L88, ACP_Norm_Red!A:A, ACP_Norm_Red!F:F, "")*$D$7) +
(XLOOKUP(L88, ACP_Norm_Red!A:A, ACP_Norm_Red!G:G, "")*$D$8) +
(XLOOKUP(L88, ACP_Norm_Red!A:A, ACP_Norm_Red!H:H, "")*$D$9)</f>
        <v>-1.125110061</v>
      </c>
    </row>
    <row r="89">
      <c r="L89" s="15" t="str">
        <f>'Récap'!A89</f>
        <v>453482ae02a485dd6eda2426eae4181835e1451a36229f550d4efb9d8a7a9470</v>
      </c>
      <c r="M89" s="3">
        <f t="array" ref="M89">(XLOOKUP(L89, ACP_Norm_Red!A:A, ACP_Norm_Red!B:B, "")*$B$3) + 
(XLOOKUP(L89, ACP_Norm_Red!A:A, ACP_Norm_Red!C:C, "")*$B$4) + 
(XLOOKUP(L89, ACP_Norm_Red!A:A, ACP_Norm_Red!D:D, "")*$B$5) +
(XLOOKUP(L89, ACP_Norm_Red!A:A, ACP_Norm_Red!E:E, "")*$B$6) +
(XLOOKUP(L89, ACP_Norm_Red!A:A, ACP_Norm_Red!F:F, "")*$B$7) +
(XLOOKUP(L89, ACP_Norm_Red!A:A, ACP_Norm_Red!G:G, "")*$B$8) +
(XLOOKUP(L89, ACP_Norm_Red!A:A, ACP_Norm_Red!H:H, "")*$B$9)</f>
        <v>0.6712565571</v>
      </c>
      <c r="N89" s="3">
        <f t="array" ref="N89">(XLOOKUP(L89, ACP_Norm_Red!A:A, ACP_Norm_Red!B:B, "")*$C$3) + 
(XLOOKUP(L89, ACP_Norm_Red!A:A, ACP_Norm_Red!C:C, "")*$C$4) + 
(XLOOKUP(L89, ACP_Norm_Red!A:A, ACP_Norm_Red!D:D, "")*$C$5) +
(XLOOKUP(L89, ACP_Norm_Red!A:A, ACP_Norm_Red!E:E, "")*$C$6) +
(XLOOKUP(L89, ACP_Norm_Red!A:A, ACP_Norm_Red!F:F, "")*$C$7) +
(XLOOKUP(L89, ACP_Norm_Red!A:A, ACP_Norm_Red!G:G, "")*$C$8) +
(XLOOKUP(L89, ACP_Norm_Red!A:A, ACP_Norm_Red!H:H, "")*$C$9)</f>
        <v>-1.467910634</v>
      </c>
      <c r="O89" s="3">
        <f t="array" ref="O89">(XLOOKUP(L89, ACP_Norm_Red!A:A, ACP_Norm_Red!B:B, "")*$D$3) + 
(XLOOKUP(L89, ACP_Norm_Red!A:A, ACP_Norm_Red!C:C, "")*$D$4) + 
(XLOOKUP(L89, ACP_Norm_Red!A:A, ACP_Norm_Red!D:D, "")*$D$5) +
(XLOOKUP(L89, ACP_Norm_Red!A:A, ACP_Norm_Red!E:E, "")*$D$6) +
(XLOOKUP(L89, ACP_Norm_Red!A:A, ACP_Norm_Red!F:F, "")*$D$7) +
(XLOOKUP(L89, ACP_Norm_Red!A:A, ACP_Norm_Red!G:G, "")*$D$8) +
(XLOOKUP(L89, ACP_Norm_Red!A:A, ACP_Norm_Red!H:H, "")*$D$9)</f>
        <v>0.4444246459</v>
      </c>
    </row>
    <row r="90">
      <c r="L90" s="15" t="str">
        <f>'Récap'!A80</f>
        <v>f421319a6d338f4c75d9ce493c2ab35aa31da5115a045fb9149446903d5f1141</v>
      </c>
      <c r="M90" s="3">
        <f t="array" ref="M90">(XLOOKUP(L90, ACP_Norm_Red!A:A, ACP_Norm_Red!B:B, "")*$B$3) + 
(XLOOKUP(L90, ACP_Norm_Red!A:A, ACP_Norm_Red!C:C, "")*$B$4) + 
(XLOOKUP(L90, ACP_Norm_Red!A:A, ACP_Norm_Red!D:D, "")*$B$5) +
(XLOOKUP(L90, ACP_Norm_Red!A:A, ACP_Norm_Red!E:E, "")*$B$6) +
(XLOOKUP(L90, ACP_Norm_Red!A:A, ACP_Norm_Red!F:F, "")*$B$7) +
(XLOOKUP(L90, ACP_Norm_Red!A:A, ACP_Norm_Red!G:G, "")*$B$8) +
(XLOOKUP(L90, ACP_Norm_Red!A:A, ACP_Norm_Red!H:H, "")*$B$9)</f>
        <v>0.6260187375</v>
      </c>
      <c r="N90" s="3">
        <f t="array" ref="N90">(XLOOKUP(L90, ACP_Norm_Red!A:A, ACP_Norm_Red!B:B, "")*$C$3) + 
(XLOOKUP(L90, ACP_Norm_Red!A:A, ACP_Norm_Red!C:C, "")*$C$4) + 
(XLOOKUP(L90, ACP_Norm_Red!A:A, ACP_Norm_Red!D:D, "")*$C$5) +
(XLOOKUP(L90, ACP_Norm_Red!A:A, ACP_Norm_Red!E:E, "")*$C$6) +
(XLOOKUP(L90, ACP_Norm_Red!A:A, ACP_Norm_Red!F:F, "")*$C$7) +
(XLOOKUP(L90, ACP_Norm_Red!A:A, ACP_Norm_Red!G:G, "")*$C$8) +
(XLOOKUP(L90, ACP_Norm_Red!A:A, ACP_Norm_Red!H:H, "")*$C$9)</f>
        <v>-0.2698830498</v>
      </c>
      <c r="O90" s="3">
        <f t="array" ref="O90">(XLOOKUP(L90, ACP_Norm_Red!A:A, ACP_Norm_Red!B:B, "")*$D$3) + 
(XLOOKUP(L90, ACP_Norm_Red!A:A, ACP_Norm_Red!C:C, "")*$D$4) + 
(XLOOKUP(L90, ACP_Norm_Red!A:A, ACP_Norm_Red!D:D, "")*$D$5) +
(XLOOKUP(L90, ACP_Norm_Red!A:A, ACP_Norm_Red!E:E, "")*$D$6) +
(XLOOKUP(L90, ACP_Norm_Red!A:A, ACP_Norm_Red!F:F, "")*$D$7) +
(XLOOKUP(L90, ACP_Norm_Red!A:A, ACP_Norm_Red!G:G, "")*$D$8) +
(XLOOKUP(L90, ACP_Norm_Red!A:A, ACP_Norm_Red!H:H, "")*$D$9)</f>
        <v>-0.2626004379</v>
      </c>
    </row>
    <row r="91">
      <c r="L91" s="15" t="str">
        <f>'Récap'!A59</f>
        <v>89b998636f98304acf1f5a475b5fad130ac8020d521969a48412173d2ac0971f</v>
      </c>
      <c r="M91" s="3">
        <f t="array" ref="M91">(XLOOKUP(L91, ACP_Norm_Red!A:A, ACP_Norm_Red!B:B, "")*$B$3) + 
(XLOOKUP(L91, ACP_Norm_Red!A:A, ACP_Norm_Red!C:C, "")*$B$4) + 
(XLOOKUP(L91, ACP_Norm_Red!A:A, ACP_Norm_Red!D:D, "")*$B$5) +
(XLOOKUP(L91, ACP_Norm_Red!A:A, ACP_Norm_Red!E:E, "")*$B$6) +
(XLOOKUP(L91, ACP_Norm_Red!A:A, ACP_Norm_Red!F:F, "")*$B$7) +
(XLOOKUP(L91, ACP_Norm_Red!A:A, ACP_Norm_Red!G:G, "")*$B$8) +
(XLOOKUP(L91, ACP_Norm_Red!A:A, ACP_Norm_Red!H:H, "")*$B$9)</f>
        <v>-0.2656862424</v>
      </c>
      <c r="N91" s="3">
        <f t="array" ref="N91">(XLOOKUP(L91, ACP_Norm_Red!A:A, ACP_Norm_Red!B:B, "")*$C$3) + 
(XLOOKUP(L91, ACP_Norm_Red!A:A, ACP_Norm_Red!C:C, "")*$C$4) + 
(XLOOKUP(L91, ACP_Norm_Red!A:A, ACP_Norm_Red!D:D, "")*$C$5) +
(XLOOKUP(L91, ACP_Norm_Red!A:A, ACP_Norm_Red!E:E, "")*$C$6) +
(XLOOKUP(L91, ACP_Norm_Red!A:A, ACP_Norm_Red!F:F, "")*$C$7) +
(XLOOKUP(L91, ACP_Norm_Red!A:A, ACP_Norm_Red!G:G, "")*$C$8) +
(XLOOKUP(L91, ACP_Norm_Red!A:A, ACP_Norm_Red!H:H, "")*$C$9)</f>
        <v>-1.288033598</v>
      </c>
      <c r="O91" s="3">
        <f t="array" ref="O91">(XLOOKUP(L91, ACP_Norm_Red!A:A, ACP_Norm_Red!B:B, "")*$D$3) + 
(XLOOKUP(L91, ACP_Norm_Red!A:A, ACP_Norm_Red!C:C, "")*$D$4) + 
(XLOOKUP(L91, ACP_Norm_Red!A:A, ACP_Norm_Red!D:D, "")*$D$5) +
(XLOOKUP(L91, ACP_Norm_Red!A:A, ACP_Norm_Red!E:E, "")*$D$6) +
(XLOOKUP(L91, ACP_Norm_Red!A:A, ACP_Norm_Red!F:F, "")*$D$7) +
(XLOOKUP(L91, ACP_Norm_Red!A:A, ACP_Norm_Red!G:G, "")*$D$8) +
(XLOOKUP(L91, ACP_Norm_Red!A:A, ACP_Norm_Red!H:H, "")*$D$9)</f>
        <v>0.6364864882</v>
      </c>
    </row>
    <row r="92">
      <c r="L92" s="15" t="str">
        <f>'Récap'!A76</f>
        <v>7026047c5e9f18234ed92d0bc1518a2a4944fc2a9a0bb90628e20b2d93e7f9ae</v>
      </c>
      <c r="M92" s="3">
        <f t="array" ref="M92">(XLOOKUP(L92, ACP_Norm_Red!A:A, ACP_Norm_Red!B:B, "")*$B$3) + 
(XLOOKUP(L92, ACP_Norm_Red!A:A, ACP_Norm_Red!C:C, "")*$B$4) + 
(XLOOKUP(L92, ACP_Norm_Red!A:A, ACP_Norm_Red!D:D, "")*$B$5) +
(XLOOKUP(L92, ACP_Norm_Red!A:A, ACP_Norm_Red!E:E, "")*$B$6) +
(XLOOKUP(L92, ACP_Norm_Red!A:A, ACP_Norm_Red!F:F, "")*$B$7) +
(XLOOKUP(L92, ACP_Norm_Red!A:A, ACP_Norm_Red!G:G, "")*$B$8) +
(XLOOKUP(L92, ACP_Norm_Red!A:A, ACP_Norm_Red!H:H, "")*$B$9)</f>
        <v>-0.9855654612</v>
      </c>
      <c r="N92" s="3">
        <f t="array" ref="N92">(XLOOKUP(L92, ACP_Norm_Red!A:A, ACP_Norm_Red!B:B, "")*$C$3) + 
(XLOOKUP(L92, ACP_Norm_Red!A:A, ACP_Norm_Red!C:C, "")*$C$4) + 
(XLOOKUP(L92, ACP_Norm_Red!A:A, ACP_Norm_Red!D:D, "")*$C$5) +
(XLOOKUP(L92, ACP_Norm_Red!A:A, ACP_Norm_Red!E:E, "")*$C$6) +
(XLOOKUP(L92, ACP_Norm_Red!A:A, ACP_Norm_Red!F:F, "")*$C$7) +
(XLOOKUP(L92, ACP_Norm_Red!A:A, ACP_Norm_Red!G:G, "")*$C$8) +
(XLOOKUP(L92, ACP_Norm_Red!A:A, ACP_Norm_Red!H:H, "")*$C$9)</f>
        <v>0.3720109026</v>
      </c>
      <c r="O92" s="3">
        <f t="array" ref="O92">(XLOOKUP(L92, ACP_Norm_Red!A:A, ACP_Norm_Red!B:B, "")*$D$3) + 
(XLOOKUP(L92, ACP_Norm_Red!A:A, ACP_Norm_Red!C:C, "")*$D$4) + 
(XLOOKUP(L92, ACP_Norm_Red!A:A, ACP_Norm_Red!D:D, "")*$D$5) +
(XLOOKUP(L92, ACP_Norm_Red!A:A, ACP_Norm_Red!E:E, "")*$D$6) +
(XLOOKUP(L92, ACP_Norm_Red!A:A, ACP_Norm_Red!F:F, "")*$D$7) +
(XLOOKUP(L92, ACP_Norm_Red!A:A, ACP_Norm_Red!G:G, "")*$D$8) +
(XLOOKUP(L92, ACP_Norm_Red!A:A, ACP_Norm_Red!H:H, "")*$D$9)</f>
        <v>0.4669675726</v>
      </c>
    </row>
    <row r="93">
      <c r="L93" s="15" t="str">
        <f>'Récap'!A36</f>
        <v>eefcecf5c7183df8d369a35df238dd9fd990564264dcadc7bafacbafbef888ac</v>
      </c>
      <c r="M93" s="3">
        <f t="array" ref="M93">(XLOOKUP(L93, ACP_Norm_Red!A:A, ACP_Norm_Red!B:B, "")*$B$3) + 
(XLOOKUP(L93, ACP_Norm_Red!A:A, ACP_Norm_Red!C:C, "")*$B$4) + 
(XLOOKUP(L93, ACP_Norm_Red!A:A, ACP_Norm_Red!D:D, "")*$B$5) +
(XLOOKUP(L93, ACP_Norm_Red!A:A, ACP_Norm_Red!E:E, "")*$B$6) +
(XLOOKUP(L93, ACP_Norm_Red!A:A, ACP_Norm_Red!F:F, "")*$B$7) +
(XLOOKUP(L93, ACP_Norm_Red!A:A, ACP_Norm_Red!G:G, "")*$B$8) +
(XLOOKUP(L93, ACP_Norm_Red!A:A, ACP_Norm_Red!H:H, "")*$B$9)</f>
        <v>-3.582684357</v>
      </c>
      <c r="N93" s="3">
        <f t="array" ref="N93">(XLOOKUP(L93, ACP_Norm_Red!A:A, ACP_Norm_Red!B:B, "")*$C$3) + 
(XLOOKUP(L93, ACP_Norm_Red!A:A, ACP_Norm_Red!C:C, "")*$C$4) + 
(XLOOKUP(L93, ACP_Norm_Red!A:A, ACP_Norm_Red!D:D, "")*$C$5) +
(XLOOKUP(L93, ACP_Norm_Red!A:A, ACP_Norm_Red!E:E, "")*$C$6) +
(XLOOKUP(L93, ACP_Norm_Red!A:A, ACP_Norm_Red!F:F, "")*$C$7) +
(XLOOKUP(L93, ACP_Norm_Red!A:A, ACP_Norm_Red!G:G, "")*$C$8) +
(XLOOKUP(L93, ACP_Norm_Red!A:A, ACP_Norm_Red!H:H, "")*$C$9)</f>
        <v>-0.4630510794</v>
      </c>
      <c r="O93" s="3">
        <f t="array" ref="O93">(XLOOKUP(L93, ACP_Norm_Red!A:A, ACP_Norm_Red!B:B, "")*$D$3) + 
(XLOOKUP(L93, ACP_Norm_Red!A:A, ACP_Norm_Red!C:C, "")*$D$4) + 
(XLOOKUP(L93, ACP_Norm_Red!A:A, ACP_Norm_Red!D:D, "")*$D$5) +
(XLOOKUP(L93, ACP_Norm_Red!A:A, ACP_Norm_Red!E:E, "")*$D$6) +
(XLOOKUP(L93, ACP_Norm_Red!A:A, ACP_Norm_Red!F:F, "")*$D$7) +
(XLOOKUP(L93, ACP_Norm_Red!A:A, ACP_Norm_Red!G:G, "")*$D$8) +
(XLOOKUP(L93, ACP_Norm_Red!A:A, ACP_Norm_Red!H:H, "")*$D$9)</f>
        <v>0.6506833429</v>
      </c>
    </row>
    <row r="94">
      <c r="L94" s="15" t="str">
        <f>'Récap'!A45</f>
        <v>0ff8e00eabc873cbfaa0832c3aa0e4a4b03e6f72593a71ecf7e5b2e4d0c82e06</v>
      </c>
      <c r="M94" s="3">
        <f t="array" ref="M94">(XLOOKUP(L94, ACP_Norm_Red!A:A, ACP_Norm_Red!B:B, "")*$B$3) + 
(XLOOKUP(L94, ACP_Norm_Red!A:A, ACP_Norm_Red!C:C, "")*$B$4) + 
(XLOOKUP(L94, ACP_Norm_Red!A:A, ACP_Norm_Red!D:D, "")*$B$5) +
(XLOOKUP(L94, ACP_Norm_Red!A:A, ACP_Norm_Red!E:E, "")*$B$6) +
(XLOOKUP(L94, ACP_Norm_Red!A:A, ACP_Norm_Red!F:F, "")*$B$7) +
(XLOOKUP(L94, ACP_Norm_Red!A:A, ACP_Norm_Red!G:G, "")*$B$8) +
(XLOOKUP(L94, ACP_Norm_Red!A:A, ACP_Norm_Red!H:H, "")*$B$9)</f>
        <v>2.136565392</v>
      </c>
      <c r="N94" s="3">
        <f t="array" ref="N94">(XLOOKUP(L94, ACP_Norm_Red!A:A, ACP_Norm_Red!B:B, "")*$C$3) + 
(XLOOKUP(L94, ACP_Norm_Red!A:A, ACP_Norm_Red!C:C, "")*$C$4) + 
(XLOOKUP(L94, ACP_Norm_Red!A:A, ACP_Norm_Red!D:D, "")*$C$5) +
(XLOOKUP(L94, ACP_Norm_Red!A:A, ACP_Norm_Red!E:E, "")*$C$6) +
(XLOOKUP(L94, ACP_Norm_Red!A:A, ACP_Norm_Red!F:F, "")*$C$7) +
(XLOOKUP(L94, ACP_Norm_Red!A:A, ACP_Norm_Red!G:G, "")*$C$8) +
(XLOOKUP(L94, ACP_Norm_Red!A:A, ACP_Norm_Red!H:H, "")*$C$9)</f>
        <v>-1.753181855</v>
      </c>
      <c r="O94" s="3">
        <f t="array" ref="O94">(XLOOKUP(L94, ACP_Norm_Red!A:A, ACP_Norm_Red!B:B, "")*$D$3) + 
(XLOOKUP(L94, ACP_Norm_Red!A:A, ACP_Norm_Red!C:C, "")*$D$4) + 
(XLOOKUP(L94, ACP_Norm_Red!A:A, ACP_Norm_Red!D:D, "")*$D$5) +
(XLOOKUP(L94, ACP_Norm_Red!A:A, ACP_Norm_Red!E:E, "")*$D$6) +
(XLOOKUP(L94, ACP_Norm_Red!A:A, ACP_Norm_Red!F:F, "")*$D$7) +
(XLOOKUP(L94, ACP_Norm_Red!A:A, ACP_Norm_Red!G:G, "")*$D$8) +
(XLOOKUP(L94, ACP_Norm_Red!A:A, ACP_Norm_Red!H:H, "")*$D$9)</f>
        <v>-0.4752373194</v>
      </c>
    </row>
    <row r="95">
      <c r="L95" s="15" t="str">
        <f>'Récap'!A58</f>
        <v>a000fa4903a3a8290435e1735ea6773bf2f2a14d1b5e564b6ab0e060b8e38688</v>
      </c>
      <c r="M95" s="3">
        <f t="array" ref="M95">(XLOOKUP(L95, ACP_Norm_Red!A:A, ACP_Norm_Red!B:B, "")*$B$3) + 
(XLOOKUP(L95, ACP_Norm_Red!A:A, ACP_Norm_Red!C:C, "")*$B$4) + 
(XLOOKUP(L95, ACP_Norm_Red!A:A, ACP_Norm_Red!D:D, "")*$B$5) +
(XLOOKUP(L95, ACP_Norm_Red!A:A, ACP_Norm_Red!E:E, "")*$B$6) +
(XLOOKUP(L95, ACP_Norm_Red!A:A, ACP_Norm_Red!F:F, "")*$B$7) +
(XLOOKUP(L95, ACP_Norm_Red!A:A, ACP_Norm_Red!G:G, "")*$B$8) +
(XLOOKUP(L95, ACP_Norm_Red!A:A, ACP_Norm_Red!H:H, "")*$B$9)</f>
        <v>-0.8027007852</v>
      </c>
      <c r="N95" s="3">
        <f t="array" ref="N95">(XLOOKUP(L95, ACP_Norm_Red!A:A, ACP_Norm_Red!B:B, "")*$C$3) + 
(XLOOKUP(L95, ACP_Norm_Red!A:A, ACP_Norm_Red!C:C, "")*$C$4) + 
(XLOOKUP(L95, ACP_Norm_Red!A:A, ACP_Norm_Red!D:D, "")*$C$5) +
(XLOOKUP(L95, ACP_Norm_Red!A:A, ACP_Norm_Red!E:E, "")*$C$6) +
(XLOOKUP(L95, ACP_Norm_Red!A:A, ACP_Norm_Red!F:F, "")*$C$7) +
(XLOOKUP(L95, ACP_Norm_Red!A:A, ACP_Norm_Red!G:G, "")*$C$8) +
(XLOOKUP(L95, ACP_Norm_Red!A:A, ACP_Norm_Red!H:H, "")*$C$9)</f>
        <v>2.467340965</v>
      </c>
      <c r="O95" s="3">
        <f t="array" ref="O95">(XLOOKUP(L95, ACP_Norm_Red!A:A, ACP_Norm_Red!B:B, "")*$D$3) + 
(XLOOKUP(L95, ACP_Norm_Red!A:A, ACP_Norm_Red!C:C, "")*$D$4) + 
(XLOOKUP(L95, ACP_Norm_Red!A:A, ACP_Norm_Red!D:D, "")*$D$5) +
(XLOOKUP(L95, ACP_Norm_Red!A:A, ACP_Norm_Red!E:E, "")*$D$6) +
(XLOOKUP(L95, ACP_Norm_Red!A:A, ACP_Norm_Red!F:F, "")*$D$7) +
(XLOOKUP(L95, ACP_Norm_Red!A:A, ACP_Norm_Red!G:G, "")*$D$8) +
(XLOOKUP(L95, ACP_Norm_Red!A:A, ACP_Norm_Red!H:H, "")*$D$9)</f>
        <v>0.08962800994</v>
      </c>
    </row>
    <row r="96">
      <c r="L96" s="15" t="str">
        <f>'Récap'!A61</f>
        <v>349cf265b30475874348c4e1b4520dc39d2668fe73f446cde11ed834aef06f6d</v>
      </c>
      <c r="M96" s="3">
        <f t="array" ref="M96">(XLOOKUP(L96, ACP_Norm_Red!A:A, ACP_Norm_Red!B:B, "")*$B$3) + 
(XLOOKUP(L96, ACP_Norm_Red!A:A, ACP_Norm_Red!C:C, "")*$B$4) + 
(XLOOKUP(L96, ACP_Norm_Red!A:A, ACP_Norm_Red!D:D, "")*$B$5) +
(XLOOKUP(L96, ACP_Norm_Red!A:A, ACP_Norm_Red!E:E, "")*$B$6) +
(XLOOKUP(L96, ACP_Norm_Red!A:A, ACP_Norm_Red!F:F, "")*$B$7) +
(XLOOKUP(L96, ACP_Norm_Red!A:A, ACP_Norm_Red!G:G, "")*$B$8) +
(XLOOKUP(L96, ACP_Norm_Red!A:A, ACP_Norm_Red!H:H, "")*$B$9)</f>
        <v>1.299671769</v>
      </c>
      <c r="N96" s="3">
        <f t="array" ref="N96">(XLOOKUP(L96, ACP_Norm_Red!A:A, ACP_Norm_Red!B:B, "")*$C$3) + 
(XLOOKUP(L96, ACP_Norm_Red!A:A, ACP_Norm_Red!C:C, "")*$C$4) + 
(XLOOKUP(L96, ACP_Norm_Red!A:A, ACP_Norm_Red!D:D, "")*$C$5) +
(XLOOKUP(L96, ACP_Norm_Red!A:A, ACP_Norm_Red!E:E, "")*$C$6) +
(XLOOKUP(L96, ACP_Norm_Red!A:A, ACP_Norm_Red!F:F, "")*$C$7) +
(XLOOKUP(L96, ACP_Norm_Red!A:A, ACP_Norm_Red!G:G, "")*$C$8) +
(XLOOKUP(L96, ACP_Norm_Red!A:A, ACP_Norm_Red!H:H, "")*$C$9)</f>
        <v>-0.1982879437</v>
      </c>
      <c r="O96" s="3">
        <f t="array" ref="O96">(XLOOKUP(L96, ACP_Norm_Red!A:A, ACP_Norm_Red!B:B, "")*$D$3) + 
(XLOOKUP(L96, ACP_Norm_Red!A:A, ACP_Norm_Red!C:C, "")*$D$4) + 
(XLOOKUP(L96, ACP_Norm_Red!A:A, ACP_Norm_Red!D:D, "")*$D$5) +
(XLOOKUP(L96, ACP_Norm_Red!A:A, ACP_Norm_Red!E:E, "")*$D$6) +
(XLOOKUP(L96, ACP_Norm_Red!A:A, ACP_Norm_Red!F:F, "")*$D$7) +
(XLOOKUP(L96, ACP_Norm_Red!A:A, ACP_Norm_Red!G:G, "")*$D$8) +
(XLOOKUP(L96, ACP_Norm_Red!A:A, ACP_Norm_Red!H:H, "")*$D$9)</f>
        <v>0.3168876174</v>
      </c>
    </row>
    <row r="97">
      <c r="L97" s="15" t="str">
        <f>'Récap'!A19</f>
        <v>7ce2ef889fd3931ddf910c65e58e6b626f658d713486152c54f9f8a0e6f37375</v>
      </c>
      <c r="M97" s="3">
        <f t="array" ref="M97">(XLOOKUP(L97, ACP_Norm_Red!A:A, ACP_Norm_Red!B:B, "")*$B$3) + 
(XLOOKUP(L97, ACP_Norm_Red!A:A, ACP_Norm_Red!C:C, "")*$B$4) + 
(XLOOKUP(L97, ACP_Norm_Red!A:A, ACP_Norm_Red!D:D, "")*$B$5) +
(XLOOKUP(L97, ACP_Norm_Red!A:A, ACP_Norm_Red!E:E, "")*$B$6) +
(XLOOKUP(L97, ACP_Norm_Red!A:A, ACP_Norm_Red!F:F, "")*$B$7) +
(XLOOKUP(L97, ACP_Norm_Red!A:A, ACP_Norm_Red!G:G, "")*$B$8) +
(XLOOKUP(L97, ACP_Norm_Red!A:A, ACP_Norm_Red!H:H, "")*$B$9)</f>
        <v>2.220407529</v>
      </c>
      <c r="N97" s="3">
        <f t="array" ref="N97">(XLOOKUP(L97, ACP_Norm_Red!A:A, ACP_Norm_Red!B:B, "")*$C$3) + 
(XLOOKUP(L97, ACP_Norm_Red!A:A, ACP_Norm_Red!C:C, "")*$C$4) + 
(XLOOKUP(L97, ACP_Norm_Red!A:A, ACP_Norm_Red!D:D, "")*$C$5) +
(XLOOKUP(L97, ACP_Norm_Red!A:A, ACP_Norm_Red!E:E, "")*$C$6) +
(XLOOKUP(L97, ACP_Norm_Red!A:A, ACP_Norm_Red!F:F, "")*$C$7) +
(XLOOKUP(L97, ACP_Norm_Red!A:A, ACP_Norm_Red!G:G, "")*$C$8) +
(XLOOKUP(L97, ACP_Norm_Red!A:A, ACP_Norm_Red!H:H, "")*$C$9)</f>
        <v>0.2362182926</v>
      </c>
      <c r="O97" s="3">
        <f t="array" ref="O97">(XLOOKUP(L97, ACP_Norm_Red!A:A, ACP_Norm_Red!B:B, "")*$D$3) + 
(XLOOKUP(L97, ACP_Norm_Red!A:A, ACP_Norm_Red!C:C, "")*$D$4) + 
(XLOOKUP(L97, ACP_Norm_Red!A:A, ACP_Norm_Red!D:D, "")*$D$5) +
(XLOOKUP(L97, ACP_Norm_Red!A:A, ACP_Norm_Red!E:E, "")*$D$6) +
(XLOOKUP(L97, ACP_Norm_Red!A:A, ACP_Norm_Red!F:F, "")*$D$7) +
(XLOOKUP(L97, ACP_Norm_Red!A:A, ACP_Norm_Red!G:G, "")*$D$8) +
(XLOOKUP(L97, ACP_Norm_Red!A:A, ACP_Norm_Red!H:H, "")*$D$9)</f>
        <v>-1.168383832</v>
      </c>
    </row>
    <row r="98">
      <c r="L98" s="15" t="str">
        <f>'Récap'!A46</f>
        <v>fe48d6db483ac4bd61b017d826272e803a5ba40fca9dcc14ce181a1331e1fa18</v>
      </c>
      <c r="M98" s="3">
        <f t="array" ref="M98">(XLOOKUP(L98, ACP_Norm_Red!A:A, ACP_Norm_Red!B:B, "")*$B$3) + 
(XLOOKUP(L98, ACP_Norm_Red!A:A, ACP_Norm_Red!C:C, "")*$B$4) + 
(XLOOKUP(L98, ACP_Norm_Red!A:A, ACP_Norm_Red!D:D, "")*$B$5) +
(XLOOKUP(L98, ACP_Norm_Red!A:A, ACP_Norm_Red!E:E, "")*$B$6) +
(XLOOKUP(L98, ACP_Norm_Red!A:A, ACP_Norm_Red!F:F, "")*$B$7) +
(XLOOKUP(L98, ACP_Norm_Red!A:A, ACP_Norm_Red!G:G, "")*$B$8) +
(XLOOKUP(L98, ACP_Norm_Red!A:A, ACP_Norm_Red!H:H, "")*$B$9)</f>
        <v>-2.691322682</v>
      </c>
      <c r="N98" s="3">
        <f t="array" ref="N98">(XLOOKUP(L98, ACP_Norm_Red!A:A, ACP_Norm_Red!B:B, "")*$C$3) + 
(XLOOKUP(L98, ACP_Norm_Red!A:A, ACP_Norm_Red!C:C, "")*$C$4) + 
(XLOOKUP(L98, ACP_Norm_Red!A:A, ACP_Norm_Red!D:D, "")*$C$5) +
(XLOOKUP(L98, ACP_Norm_Red!A:A, ACP_Norm_Red!E:E, "")*$C$6) +
(XLOOKUP(L98, ACP_Norm_Red!A:A, ACP_Norm_Red!F:F, "")*$C$7) +
(XLOOKUP(L98, ACP_Norm_Red!A:A, ACP_Norm_Red!G:G, "")*$C$8) +
(XLOOKUP(L98, ACP_Norm_Red!A:A, ACP_Norm_Red!H:H, "")*$C$9)</f>
        <v>-0.6646097387</v>
      </c>
      <c r="O98" s="3">
        <f t="array" ref="O98">(XLOOKUP(L98, ACP_Norm_Red!A:A, ACP_Norm_Red!B:B, "")*$D$3) + 
(XLOOKUP(L98, ACP_Norm_Red!A:A, ACP_Norm_Red!C:C, "")*$D$4) + 
(XLOOKUP(L98, ACP_Norm_Red!A:A, ACP_Norm_Red!D:D, "")*$D$5) +
(XLOOKUP(L98, ACP_Norm_Red!A:A, ACP_Norm_Red!E:E, "")*$D$6) +
(XLOOKUP(L98, ACP_Norm_Red!A:A, ACP_Norm_Red!F:F, "")*$D$7) +
(XLOOKUP(L98, ACP_Norm_Red!A:A, ACP_Norm_Red!G:G, "")*$D$8) +
(XLOOKUP(L98, ACP_Norm_Red!A:A, ACP_Norm_Red!H:H, "")*$D$9)</f>
        <v>0.5162306496</v>
      </c>
    </row>
    <row r="99">
      <c r="L99" s="15" t="str">
        <f>'Récap'!A34</f>
        <v>080e819b7f2ec7fdf5df10abc0092a6ae39db49584244ea555a9ce18c8d57c53</v>
      </c>
      <c r="M99" s="3">
        <f t="array" ref="M99">(XLOOKUP(L99, ACP_Norm_Red!A:A, ACP_Norm_Red!B:B, "")*$B$3) + 
(XLOOKUP(L99, ACP_Norm_Red!A:A, ACP_Norm_Red!C:C, "")*$B$4) + 
(XLOOKUP(L99, ACP_Norm_Red!A:A, ACP_Norm_Red!D:D, "")*$B$5) +
(XLOOKUP(L99, ACP_Norm_Red!A:A, ACP_Norm_Red!E:E, "")*$B$6) +
(XLOOKUP(L99, ACP_Norm_Red!A:A, ACP_Norm_Red!F:F, "")*$B$7) +
(XLOOKUP(L99, ACP_Norm_Red!A:A, ACP_Norm_Red!G:G, "")*$B$8) +
(XLOOKUP(L99, ACP_Norm_Red!A:A, ACP_Norm_Red!H:H, "")*$B$9)</f>
        <v>-2.076350046</v>
      </c>
      <c r="N99" s="3">
        <f t="array" ref="N99">(XLOOKUP(L99, ACP_Norm_Red!A:A, ACP_Norm_Red!B:B, "")*$C$3) + 
(XLOOKUP(L99, ACP_Norm_Red!A:A, ACP_Norm_Red!C:C, "")*$C$4) + 
(XLOOKUP(L99, ACP_Norm_Red!A:A, ACP_Norm_Red!D:D, "")*$C$5) +
(XLOOKUP(L99, ACP_Norm_Red!A:A, ACP_Norm_Red!E:E, "")*$C$6) +
(XLOOKUP(L99, ACP_Norm_Red!A:A, ACP_Norm_Red!F:F, "")*$C$7) +
(XLOOKUP(L99, ACP_Norm_Red!A:A, ACP_Norm_Red!G:G, "")*$C$8) +
(XLOOKUP(L99, ACP_Norm_Red!A:A, ACP_Norm_Red!H:H, "")*$C$9)</f>
        <v>-0.8382311068</v>
      </c>
      <c r="O99" s="3">
        <f t="array" ref="O99">(XLOOKUP(L99, ACP_Norm_Red!A:A, ACP_Norm_Red!B:B, "")*$D$3) + 
(XLOOKUP(L99, ACP_Norm_Red!A:A, ACP_Norm_Red!C:C, "")*$D$4) + 
(XLOOKUP(L99, ACP_Norm_Red!A:A, ACP_Norm_Red!D:D, "")*$D$5) +
(XLOOKUP(L99, ACP_Norm_Red!A:A, ACP_Norm_Red!E:E, "")*$D$6) +
(XLOOKUP(L99, ACP_Norm_Red!A:A, ACP_Norm_Red!F:F, "")*$D$7) +
(XLOOKUP(L99, ACP_Norm_Red!A:A, ACP_Norm_Red!G:G, "")*$D$8) +
(XLOOKUP(L99, ACP_Norm_Red!A:A, ACP_Norm_Red!H:H, "")*$D$9)</f>
        <v>0.657164078</v>
      </c>
    </row>
    <row r="100">
      <c r="L100" s="15" t="str">
        <f>'Récap'!A38</f>
        <v>753b3dfbf00b265816877af61db67c39ee3fae2b4e0a7b8f387b5163ff85b1bc</v>
      </c>
      <c r="M100" s="3">
        <f t="array" ref="M100">(XLOOKUP(L100, ACP_Norm_Red!A:A, ACP_Norm_Red!B:B, "")*$B$3) + 
(XLOOKUP(L100, ACP_Norm_Red!A:A, ACP_Norm_Red!C:C, "")*$B$4) + 
(XLOOKUP(L100, ACP_Norm_Red!A:A, ACP_Norm_Red!D:D, "")*$B$5) +
(XLOOKUP(L100, ACP_Norm_Red!A:A, ACP_Norm_Red!E:E, "")*$B$6) +
(XLOOKUP(L100, ACP_Norm_Red!A:A, ACP_Norm_Red!F:F, "")*$B$7) +
(XLOOKUP(L100, ACP_Norm_Red!A:A, ACP_Norm_Red!G:G, "")*$B$8) +
(XLOOKUP(L100, ACP_Norm_Red!A:A, ACP_Norm_Red!H:H, "")*$B$9)</f>
        <v>2.206870814</v>
      </c>
      <c r="N100" s="3">
        <f t="array" ref="N100">(XLOOKUP(L100, ACP_Norm_Red!A:A, ACP_Norm_Red!B:B, "")*$C$3) + 
(XLOOKUP(L100, ACP_Norm_Red!A:A, ACP_Norm_Red!C:C, "")*$C$4) + 
(XLOOKUP(L100, ACP_Norm_Red!A:A, ACP_Norm_Red!D:D, "")*$C$5) +
(XLOOKUP(L100, ACP_Norm_Red!A:A, ACP_Norm_Red!E:E, "")*$C$6) +
(XLOOKUP(L100, ACP_Norm_Red!A:A, ACP_Norm_Red!F:F, "")*$C$7) +
(XLOOKUP(L100, ACP_Norm_Red!A:A, ACP_Norm_Red!G:G, "")*$C$8) +
(XLOOKUP(L100, ACP_Norm_Red!A:A, ACP_Norm_Red!H:H, "")*$C$9)</f>
        <v>2.426402162</v>
      </c>
      <c r="O100" s="3">
        <f t="array" ref="O100">(XLOOKUP(L100, ACP_Norm_Red!A:A, ACP_Norm_Red!B:B, "")*$D$3) + 
(XLOOKUP(L100, ACP_Norm_Red!A:A, ACP_Norm_Red!C:C, "")*$D$4) + 
(XLOOKUP(L100, ACP_Norm_Red!A:A, ACP_Norm_Red!D:D, "")*$D$5) +
(XLOOKUP(L100, ACP_Norm_Red!A:A, ACP_Norm_Red!E:E, "")*$D$6) +
(XLOOKUP(L100, ACP_Norm_Red!A:A, ACP_Norm_Red!F:F, "")*$D$7) +
(XLOOKUP(L100, ACP_Norm_Red!A:A, ACP_Norm_Red!G:G, "")*$D$8) +
(XLOOKUP(L100, ACP_Norm_Red!A:A, ACP_Norm_Red!H:H, "")*$D$9)</f>
        <v>0.7182143129</v>
      </c>
    </row>
    <row r="101">
      <c r="L101" s="15" t="str">
        <f>'Récap'!A62</f>
        <v>48002b47ecdcaeb4828400130c7d77959319f9ae612dfbd03a91f7422c093ac7</v>
      </c>
      <c r="M101" s="3">
        <f t="array" ref="M101">(XLOOKUP(L101, ACP_Norm_Red!A:A, ACP_Norm_Red!B:B, "")*$B$3) + 
(XLOOKUP(L101, ACP_Norm_Red!A:A, ACP_Norm_Red!C:C, "")*$B$4) + 
(XLOOKUP(L101, ACP_Norm_Red!A:A, ACP_Norm_Red!D:D, "")*$B$5) +
(XLOOKUP(L101, ACP_Norm_Red!A:A, ACP_Norm_Red!E:E, "")*$B$6) +
(XLOOKUP(L101, ACP_Norm_Red!A:A, ACP_Norm_Red!F:F, "")*$B$7) +
(XLOOKUP(L101, ACP_Norm_Red!A:A, ACP_Norm_Red!G:G, "")*$B$8) +
(XLOOKUP(L101, ACP_Norm_Red!A:A, ACP_Norm_Red!H:H, "")*$B$9)</f>
        <v>1.220747249</v>
      </c>
      <c r="N101" s="3">
        <f t="array" ref="N101">(XLOOKUP(L101, ACP_Norm_Red!A:A, ACP_Norm_Red!B:B, "")*$C$3) + 
(XLOOKUP(L101, ACP_Norm_Red!A:A, ACP_Norm_Red!C:C, "")*$C$4) + 
(XLOOKUP(L101, ACP_Norm_Red!A:A, ACP_Norm_Red!D:D, "")*$C$5) +
(XLOOKUP(L101, ACP_Norm_Red!A:A, ACP_Norm_Red!E:E, "")*$C$6) +
(XLOOKUP(L101, ACP_Norm_Red!A:A, ACP_Norm_Red!F:F, "")*$C$7) +
(XLOOKUP(L101, ACP_Norm_Red!A:A, ACP_Norm_Red!G:G, "")*$C$8) +
(XLOOKUP(L101, ACP_Norm_Red!A:A, ACP_Norm_Red!H:H, "")*$C$9)</f>
        <v>1.688584507</v>
      </c>
      <c r="O101" s="3">
        <f t="array" ref="O101">(XLOOKUP(L101, ACP_Norm_Red!A:A, ACP_Norm_Red!B:B, "")*$D$3) + 
(XLOOKUP(L101, ACP_Norm_Red!A:A, ACP_Norm_Red!C:C, "")*$D$4) + 
(XLOOKUP(L101, ACP_Norm_Red!A:A, ACP_Norm_Red!D:D, "")*$D$5) +
(XLOOKUP(L101, ACP_Norm_Red!A:A, ACP_Norm_Red!E:E, "")*$D$6) +
(XLOOKUP(L101, ACP_Norm_Red!A:A, ACP_Norm_Red!F:F, "")*$D$7) +
(XLOOKUP(L101, ACP_Norm_Red!A:A, ACP_Norm_Red!G:G, "")*$D$8) +
(XLOOKUP(L101, ACP_Norm_Red!A:A, ACP_Norm_Red!H:H, "")*$D$9)</f>
        <v>0.9797322847</v>
      </c>
    </row>
    <row r="102">
      <c r="L102" s="15" t="str">
        <f>'Récap'!A52</f>
        <v>60dc13afd9db46855db7cb4b46b2429c473ae61d93c867bb13914cc0ee137a78</v>
      </c>
      <c r="M102" s="3">
        <f t="array" ref="M102">(XLOOKUP(L102, ACP_Norm_Red!A:A, ACP_Norm_Red!B:B, "")*$B$3) + 
(XLOOKUP(L102, ACP_Norm_Red!A:A, ACP_Norm_Red!C:C, "")*$B$4) + 
(XLOOKUP(L102, ACP_Norm_Red!A:A, ACP_Norm_Red!D:D, "")*$B$5) +
(XLOOKUP(L102, ACP_Norm_Red!A:A, ACP_Norm_Red!E:E, "")*$B$6) +
(XLOOKUP(L102, ACP_Norm_Red!A:A, ACP_Norm_Red!F:F, "")*$B$7) +
(XLOOKUP(L102, ACP_Norm_Red!A:A, ACP_Norm_Red!G:G, "")*$B$8) +
(XLOOKUP(L102, ACP_Norm_Red!A:A, ACP_Norm_Red!H:H, "")*$B$9)</f>
        <v>1.467357361</v>
      </c>
      <c r="N102" s="3">
        <f t="array" ref="N102">(XLOOKUP(L102, ACP_Norm_Red!A:A, ACP_Norm_Red!B:B, "")*$C$3) + 
(XLOOKUP(L102, ACP_Norm_Red!A:A, ACP_Norm_Red!C:C, "")*$C$4) + 
(XLOOKUP(L102, ACP_Norm_Red!A:A, ACP_Norm_Red!D:D, "")*$C$5) +
(XLOOKUP(L102, ACP_Norm_Red!A:A, ACP_Norm_Red!E:E, "")*$C$6) +
(XLOOKUP(L102, ACP_Norm_Red!A:A, ACP_Norm_Red!F:F, "")*$C$7) +
(XLOOKUP(L102, ACP_Norm_Red!A:A, ACP_Norm_Red!G:G, "")*$C$8) +
(XLOOKUP(L102, ACP_Norm_Red!A:A, ACP_Norm_Red!H:H, "")*$C$9)</f>
        <v>0.4846527872</v>
      </c>
      <c r="O102" s="3">
        <f t="array" ref="O102">(XLOOKUP(L102, ACP_Norm_Red!A:A, ACP_Norm_Red!B:B, "")*$D$3) + 
(XLOOKUP(L102, ACP_Norm_Red!A:A, ACP_Norm_Red!C:C, "")*$D$4) + 
(XLOOKUP(L102, ACP_Norm_Red!A:A, ACP_Norm_Red!D:D, "")*$D$5) +
(XLOOKUP(L102, ACP_Norm_Red!A:A, ACP_Norm_Red!E:E, "")*$D$6) +
(XLOOKUP(L102, ACP_Norm_Red!A:A, ACP_Norm_Red!F:F, "")*$D$7) +
(XLOOKUP(L102, ACP_Norm_Red!A:A, ACP_Norm_Red!G:G, "")*$D$8) +
(XLOOKUP(L102, ACP_Norm_Red!A:A, ACP_Norm_Red!H:H, "")*$D$9)</f>
        <v>-0.9125839723</v>
      </c>
    </row>
    <row r="103">
      <c r="L103" s="15" t="str">
        <f>'Récap'!A54</f>
        <v>6d7f68c6bb26c8342bf3a3e21bb30c4a24aa6ccd9d3319af32684e6641052dcd</v>
      </c>
      <c r="M103" s="3">
        <f t="array" ref="M103">(XLOOKUP(L103, ACP_Norm_Red!A:A, ACP_Norm_Red!B:B, "")*$B$3) + 
(XLOOKUP(L103, ACP_Norm_Red!A:A, ACP_Norm_Red!C:C, "")*$B$4) + 
(XLOOKUP(L103, ACP_Norm_Red!A:A, ACP_Norm_Red!D:D, "")*$B$5) +
(XLOOKUP(L103, ACP_Norm_Red!A:A, ACP_Norm_Red!E:E, "")*$B$6) +
(XLOOKUP(L103, ACP_Norm_Red!A:A, ACP_Norm_Red!F:F, "")*$B$7) +
(XLOOKUP(L103, ACP_Norm_Red!A:A, ACP_Norm_Red!G:G, "")*$B$8) +
(XLOOKUP(L103, ACP_Norm_Red!A:A, ACP_Norm_Red!H:H, "")*$B$9)</f>
        <v>-0.06487843498</v>
      </c>
      <c r="N103" s="3">
        <f t="array" ref="N103">(XLOOKUP(L103, ACP_Norm_Red!A:A, ACP_Norm_Red!B:B, "")*$C$3) + 
(XLOOKUP(L103, ACP_Norm_Red!A:A, ACP_Norm_Red!C:C, "")*$C$4) + 
(XLOOKUP(L103, ACP_Norm_Red!A:A, ACP_Norm_Red!D:D, "")*$C$5) +
(XLOOKUP(L103, ACP_Norm_Red!A:A, ACP_Norm_Red!E:E, "")*$C$6) +
(XLOOKUP(L103, ACP_Norm_Red!A:A, ACP_Norm_Red!F:F, "")*$C$7) +
(XLOOKUP(L103, ACP_Norm_Red!A:A, ACP_Norm_Red!G:G, "")*$C$8) +
(XLOOKUP(L103, ACP_Norm_Red!A:A, ACP_Norm_Red!H:H, "")*$C$9)</f>
        <v>-1.297100138</v>
      </c>
      <c r="O103" s="3">
        <f t="array" ref="O103">(XLOOKUP(L103, ACP_Norm_Red!A:A, ACP_Norm_Red!B:B, "")*$D$3) + 
(XLOOKUP(L103, ACP_Norm_Red!A:A, ACP_Norm_Red!C:C, "")*$D$4) + 
(XLOOKUP(L103, ACP_Norm_Red!A:A, ACP_Norm_Red!D:D, "")*$D$5) +
(XLOOKUP(L103, ACP_Norm_Red!A:A, ACP_Norm_Red!E:E, "")*$D$6) +
(XLOOKUP(L103, ACP_Norm_Red!A:A, ACP_Norm_Red!F:F, "")*$D$7) +
(XLOOKUP(L103, ACP_Norm_Red!A:A, ACP_Norm_Red!G:G, "")*$D$8) +
(XLOOKUP(L103, ACP_Norm_Red!A:A, ACP_Norm_Red!H:H, "")*$D$9)</f>
        <v>0.4101621241</v>
      </c>
    </row>
    <row r="104">
      <c r="L104" s="15" t="str">
        <f>'Récap'!A14</f>
        <v>d9381190f981d16a88149206249465bb181ce58d6359562dea944f4d477363e3</v>
      </c>
      <c r="M104" s="3">
        <f t="array" ref="M104">(XLOOKUP(L104, ACP_Norm_Red!A:A, ACP_Norm_Red!B:B, "")*$B$3) + 
(XLOOKUP(L104, ACP_Norm_Red!A:A, ACP_Norm_Red!C:C, "")*$B$4) + 
(XLOOKUP(L104, ACP_Norm_Red!A:A, ACP_Norm_Red!D:D, "")*$B$5) +
(XLOOKUP(L104, ACP_Norm_Red!A:A, ACP_Norm_Red!E:E, "")*$B$6) +
(XLOOKUP(L104, ACP_Norm_Red!A:A, ACP_Norm_Red!F:F, "")*$B$7) +
(XLOOKUP(L104, ACP_Norm_Red!A:A, ACP_Norm_Red!G:G, "")*$B$8) +
(XLOOKUP(L104, ACP_Norm_Red!A:A, ACP_Norm_Red!H:H, "")*$B$9)</f>
        <v>0.1142374189</v>
      </c>
      <c r="N104" s="3">
        <f t="array" ref="N104">(XLOOKUP(L104, ACP_Norm_Red!A:A, ACP_Norm_Red!B:B, "")*$C$3) + 
(XLOOKUP(L104, ACP_Norm_Red!A:A, ACP_Norm_Red!C:C, "")*$C$4) + 
(XLOOKUP(L104, ACP_Norm_Red!A:A, ACP_Norm_Red!D:D, "")*$C$5) +
(XLOOKUP(L104, ACP_Norm_Red!A:A, ACP_Norm_Red!E:E, "")*$C$6) +
(XLOOKUP(L104, ACP_Norm_Red!A:A, ACP_Norm_Red!F:F, "")*$C$7) +
(XLOOKUP(L104, ACP_Norm_Red!A:A, ACP_Norm_Red!G:G, "")*$C$8) +
(XLOOKUP(L104, ACP_Norm_Red!A:A, ACP_Norm_Red!H:H, "")*$C$9)</f>
        <v>-1.288330031</v>
      </c>
      <c r="O104" s="3">
        <f t="array" ref="O104">(XLOOKUP(L104, ACP_Norm_Red!A:A, ACP_Norm_Red!B:B, "")*$D$3) + 
(XLOOKUP(L104, ACP_Norm_Red!A:A, ACP_Norm_Red!C:C, "")*$D$4) + 
(XLOOKUP(L104, ACP_Norm_Red!A:A, ACP_Norm_Red!D:D, "")*$D$5) +
(XLOOKUP(L104, ACP_Norm_Red!A:A, ACP_Norm_Red!E:E, "")*$D$6) +
(XLOOKUP(L104, ACP_Norm_Red!A:A, ACP_Norm_Red!F:F, "")*$D$7) +
(XLOOKUP(L104, ACP_Norm_Red!A:A, ACP_Norm_Red!G:G, "")*$D$8) +
(XLOOKUP(L104, ACP_Norm_Red!A:A, ACP_Norm_Red!H:H, "")*$D$9)</f>
        <v>-0.01299532007</v>
      </c>
    </row>
    <row r="105">
      <c r="L105" s="15" t="str">
        <f>'Récap'!A6</f>
        <v>098d08de95d38eeec0842ad11e1e98d03c5afff456588f8ec0e9b2842aae39a3</v>
      </c>
      <c r="M105" s="3">
        <f t="array" ref="M105">(XLOOKUP(L105, ACP_Norm_Red!A:A, ACP_Norm_Red!B:B, "")*$B$3) + 
(XLOOKUP(L105, ACP_Norm_Red!A:A, ACP_Norm_Red!C:C, "")*$B$4) + 
(XLOOKUP(L105, ACP_Norm_Red!A:A, ACP_Norm_Red!D:D, "")*$B$5) +
(XLOOKUP(L105, ACP_Norm_Red!A:A, ACP_Norm_Red!E:E, "")*$B$6) +
(XLOOKUP(L105, ACP_Norm_Red!A:A, ACP_Norm_Red!F:F, "")*$B$7) +
(XLOOKUP(L105, ACP_Norm_Red!A:A, ACP_Norm_Red!G:G, "")*$B$8) +
(XLOOKUP(L105, ACP_Norm_Red!A:A, ACP_Norm_Red!H:H, "")*$B$9)</f>
        <v>1.965603751</v>
      </c>
      <c r="N105" s="3">
        <f t="array" ref="N105">(XLOOKUP(L105, ACP_Norm_Red!A:A, ACP_Norm_Red!B:B, "")*$C$3) + 
(XLOOKUP(L105, ACP_Norm_Red!A:A, ACP_Norm_Red!C:C, "")*$C$4) + 
(XLOOKUP(L105, ACP_Norm_Red!A:A, ACP_Norm_Red!D:D, "")*$C$5) +
(XLOOKUP(L105, ACP_Norm_Red!A:A, ACP_Norm_Red!E:E, "")*$C$6) +
(XLOOKUP(L105, ACP_Norm_Red!A:A, ACP_Norm_Red!F:F, "")*$C$7) +
(XLOOKUP(L105, ACP_Norm_Red!A:A, ACP_Norm_Red!G:G, "")*$C$8) +
(XLOOKUP(L105, ACP_Norm_Red!A:A, ACP_Norm_Red!H:H, "")*$C$9)</f>
        <v>0.7966748368</v>
      </c>
      <c r="O105" s="3">
        <f t="array" ref="O105">(XLOOKUP(L105, ACP_Norm_Red!A:A, ACP_Norm_Red!B:B, "")*$D$3) + 
(XLOOKUP(L105, ACP_Norm_Red!A:A, ACP_Norm_Red!C:C, "")*$D$4) + 
(XLOOKUP(L105, ACP_Norm_Red!A:A, ACP_Norm_Red!D:D, "")*$D$5) +
(XLOOKUP(L105, ACP_Norm_Red!A:A, ACP_Norm_Red!E:E, "")*$D$6) +
(XLOOKUP(L105, ACP_Norm_Red!A:A, ACP_Norm_Red!F:F, "")*$D$7) +
(XLOOKUP(L105, ACP_Norm_Red!A:A, ACP_Norm_Red!G:G, "")*$D$8) +
(XLOOKUP(L105, ACP_Norm_Red!A:A, ACP_Norm_Red!H:H, "")*$D$9)</f>
        <v>1.396322624</v>
      </c>
    </row>
    <row r="106">
      <c r="L106" s="15" t="str">
        <f>'Récap'!A15</f>
        <v>48f565383f47c6752893810686bd0c5f07fef08e34bc22a3f398d3b8c8db7c43</v>
      </c>
      <c r="M106" s="3">
        <f t="array" ref="M106">(XLOOKUP(L106, ACP_Norm_Red!A:A, ACP_Norm_Red!B:B, "")*$B$3) + 
(XLOOKUP(L106, ACP_Norm_Red!A:A, ACP_Norm_Red!C:C, "")*$B$4) + 
(XLOOKUP(L106, ACP_Norm_Red!A:A, ACP_Norm_Red!D:D, "")*$B$5) +
(XLOOKUP(L106, ACP_Norm_Red!A:A, ACP_Norm_Red!E:E, "")*$B$6) +
(XLOOKUP(L106, ACP_Norm_Red!A:A, ACP_Norm_Red!F:F, "")*$B$7) +
(XLOOKUP(L106, ACP_Norm_Red!A:A, ACP_Norm_Red!G:G, "")*$B$8) +
(XLOOKUP(L106, ACP_Norm_Red!A:A, ACP_Norm_Red!H:H, "")*$B$9)</f>
        <v>-1.602704803</v>
      </c>
      <c r="N106" s="3">
        <f t="array" ref="N106">(XLOOKUP(L106, ACP_Norm_Red!A:A, ACP_Norm_Red!B:B, "")*$C$3) + 
(XLOOKUP(L106, ACP_Norm_Red!A:A, ACP_Norm_Red!C:C, "")*$C$4) + 
(XLOOKUP(L106, ACP_Norm_Red!A:A, ACP_Norm_Red!D:D, "")*$C$5) +
(XLOOKUP(L106, ACP_Norm_Red!A:A, ACP_Norm_Red!E:E, "")*$C$6) +
(XLOOKUP(L106, ACP_Norm_Red!A:A, ACP_Norm_Red!F:F, "")*$C$7) +
(XLOOKUP(L106, ACP_Norm_Red!A:A, ACP_Norm_Red!G:G, "")*$C$8) +
(XLOOKUP(L106, ACP_Norm_Red!A:A, ACP_Norm_Red!H:H, "")*$C$9)</f>
        <v>0.1904808247</v>
      </c>
      <c r="O106" s="3">
        <f t="array" ref="O106">(XLOOKUP(L106, ACP_Norm_Red!A:A, ACP_Norm_Red!B:B, "")*$D$3) + 
(XLOOKUP(L106, ACP_Norm_Red!A:A, ACP_Norm_Red!C:C, "")*$D$4) + 
(XLOOKUP(L106, ACP_Norm_Red!A:A, ACP_Norm_Red!D:D, "")*$D$5) +
(XLOOKUP(L106, ACP_Norm_Red!A:A, ACP_Norm_Red!E:E, "")*$D$6) +
(XLOOKUP(L106, ACP_Norm_Red!A:A, ACP_Norm_Red!F:F, "")*$D$7) +
(XLOOKUP(L106, ACP_Norm_Red!A:A, ACP_Norm_Red!G:G, "")*$D$8) +
(XLOOKUP(L106, ACP_Norm_Red!A:A, ACP_Norm_Red!H:H, "")*$D$9)</f>
        <v>-1.514441742</v>
      </c>
    </row>
    <row r="107">
      <c r="L107" s="15" t="str">
        <f>'Récap'!A12</f>
        <v>bd41cbdc04707f80b319802470a1871b99d36766f9d020cc0f9a569a4d1bb54b</v>
      </c>
      <c r="M107" s="3">
        <f t="array" ref="M107">(XLOOKUP(L107, ACP_Norm_Red!A:A, ACP_Norm_Red!B:B, "")*$B$3) + 
(XLOOKUP(L107, ACP_Norm_Red!A:A, ACP_Norm_Red!C:C, "")*$B$4) + 
(XLOOKUP(L107, ACP_Norm_Red!A:A, ACP_Norm_Red!D:D, "")*$B$5) +
(XLOOKUP(L107, ACP_Norm_Red!A:A, ACP_Norm_Red!E:E, "")*$B$6) +
(XLOOKUP(L107, ACP_Norm_Red!A:A, ACP_Norm_Red!F:F, "")*$B$7) +
(XLOOKUP(L107, ACP_Norm_Red!A:A, ACP_Norm_Red!G:G, "")*$B$8) +
(XLOOKUP(L107, ACP_Norm_Red!A:A, ACP_Norm_Red!H:H, "")*$B$9)</f>
        <v>0.1297850297</v>
      </c>
      <c r="N107" s="3">
        <f t="array" ref="N107">(XLOOKUP(L107, ACP_Norm_Red!A:A, ACP_Norm_Red!B:B, "")*$C$3) + 
(XLOOKUP(L107, ACP_Norm_Red!A:A, ACP_Norm_Red!C:C, "")*$C$4) + 
(XLOOKUP(L107, ACP_Norm_Red!A:A, ACP_Norm_Red!D:D, "")*$C$5) +
(XLOOKUP(L107, ACP_Norm_Red!A:A, ACP_Norm_Red!E:E, "")*$C$6) +
(XLOOKUP(L107, ACP_Norm_Red!A:A, ACP_Norm_Red!F:F, "")*$C$7) +
(XLOOKUP(L107, ACP_Norm_Red!A:A, ACP_Norm_Red!G:G, "")*$C$8) +
(XLOOKUP(L107, ACP_Norm_Red!A:A, ACP_Norm_Red!H:H, "")*$C$9)</f>
        <v>-1.374075771</v>
      </c>
      <c r="O107" s="3">
        <f t="array" ref="O107">(XLOOKUP(L107, ACP_Norm_Red!A:A, ACP_Norm_Red!B:B, "")*$D$3) + 
(XLOOKUP(L107, ACP_Norm_Red!A:A, ACP_Norm_Red!C:C, "")*$D$4) + 
(XLOOKUP(L107, ACP_Norm_Red!A:A, ACP_Norm_Red!D:D, "")*$D$5) +
(XLOOKUP(L107, ACP_Norm_Red!A:A, ACP_Norm_Red!E:E, "")*$D$6) +
(XLOOKUP(L107, ACP_Norm_Red!A:A, ACP_Norm_Red!F:F, "")*$D$7) +
(XLOOKUP(L107, ACP_Norm_Red!A:A, ACP_Norm_Red!G:G, "")*$D$8) +
(XLOOKUP(L107, ACP_Norm_Red!A:A, ACP_Norm_Red!H:H, "")*$D$9)</f>
        <v>0.6382931917</v>
      </c>
    </row>
    <row r="108">
      <c r="L108" s="15" t="str">
        <f>'Récap'!A8</f>
        <v>6a91389bf293538f8bfd1747ffc38730176f9e72e8ed7004fabc8cd25e69df6b</v>
      </c>
      <c r="M108" s="3">
        <f t="array" ref="M108">(XLOOKUP(L108, ACP_Norm_Red!A:A, ACP_Norm_Red!B:B, "")*$B$3) + 
(XLOOKUP(L108, ACP_Norm_Red!A:A, ACP_Norm_Red!C:C, "")*$B$4) + 
(XLOOKUP(L108, ACP_Norm_Red!A:A, ACP_Norm_Red!D:D, "")*$B$5) +
(XLOOKUP(L108, ACP_Norm_Red!A:A, ACP_Norm_Red!E:E, "")*$B$6) +
(XLOOKUP(L108, ACP_Norm_Red!A:A, ACP_Norm_Red!F:F, "")*$B$7) +
(XLOOKUP(L108, ACP_Norm_Red!A:A, ACP_Norm_Red!G:G, "")*$B$8) +
(XLOOKUP(L108, ACP_Norm_Red!A:A, ACP_Norm_Red!H:H, "")*$B$9)</f>
        <v>2.13969476</v>
      </c>
      <c r="N108" s="3">
        <f t="array" ref="N108">(XLOOKUP(L108, ACP_Norm_Red!A:A, ACP_Norm_Red!B:B, "")*$C$3) + 
(XLOOKUP(L108, ACP_Norm_Red!A:A, ACP_Norm_Red!C:C, "")*$C$4) + 
(XLOOKUP(L108, ACP_Norm_Red!A:A, ACP_Norm_Red!D:D, "")*$C$5) +
(XLOOKUP(L108, ACP_Norm_Red!A:A, ACP_Norm_Red!E:E, "")*$C$6) +
(XLOOKUP(L108, ACP_Norm_Red!A:A, ACP_Norm_Red!F:F, "")*$C$7) +
(XLOOKUP(L108, ACP_Norm_Red!A:A, ACP_Norm_Red!G:G, "")*$C$8) +
(XLOOKUP(L108, ACP_Norm_Red!A:A, ACP_Norm_Red!H:H, "")*$C$9)</f>
        <v>-0.5308177995</v>
      </c>
      <c r="O108" s="3">
        <f t="array" ref="O108">(XLOOKUP(L108, ACP_Norm_Red!A:A, ACP_Norm_Red!B:B, "")*$D$3) + 
(XLOOKUP(L108, ACP_Norm_Red!A:A, ACP_Norm_Red!C:C, "")*$D$4) + 
(XLOOKUP(L108, ACP_Norm_Red!A:A, ACP_Norm_Red!D:D, "")*$D$5) +
(XLOOKUP(L108, ACP_Norm_Red!A:A, ACP_Norm_Red!E:E, "")*$D$6) +
(XLOOKUP(L108, ACP_Norm_Red!A:A, ACP_Norm_Red!F:F, "")*$D$7) +
(XLOOKUP(L108, ACP_Norm_Red!A:A, ACP_Norm_Red!G:G, "")*$D$8) +
(XLOOKUP(L108, ACP_Norm_Red!A:A, ACP_Norm_Red!H:H, "")*$D$9)</f>
        <v>-0.08243579057</v>
      </c>
    </row>
    <row r="109">
      <c r="L109" s="15" t="str">
        <f>'Récap'!A10</f>
        <v>76b0bf253c0d17b6f275cc641729eda42ebed851893da32c132515023ab1e4e1</v>
      </c>
      <c r="M109" s="3">
        <f t="array" ref="M109">(XLOOKUP(L109, ACP_Norm_Red!A:A, ACP_Norm_Red!B:B, "")*$B$3) + 
(XLOOKUP(L109, ACP_Norm_Red!A:A, ACP_Norm_Red!C:C, "")*$B$4) + 
(XLOOKUP(L109, ACP_Norm_Red!A:A, ACP_Norm_Red!D:D, "")*$B$5) +
(XLOOKUP(L109, ACP_Norm_Red!A:A, ACP_Norm_Red!E:E, "")*$B$6) +
(XLOOKUP(L109, ACP_Norm_Red!A:A, ACP_Norm_Red!F:F, "")*$B$7) +
(XLOOKUP(L109, ACP_Norm_Red!A:A, ACP_Norm_Red!G:G, "")*$B$8) +
(XLOOKUP(L109, ACP_Norm_Red!A:A, ACP_Norm_Red!H:H, "")*$B$9)</f>
        <v>0.5414840511</v>
      </c>
      <c r="N109" s="3">
        <f t="array" ref="N109">(XLOOKUP(L109, ACP_Norm_Red!A:A, ACP_Norm_Red!B:B, "")*$C$3) + 
(XLOOKUP(L109, ACP_Norm_Red!A:A, ACP_Norm_Red!C:C, "")*$C$4) + 
(XLOOKUP(L109, ACP_Norm_Red!A:A, ACP_Norm_Red!D:D, "")*$C$5) +
(XLOOKUP(L109, ACP_Norm_Red!A:A, ACP_Norm_Red!E:E, "")*$C$6) +
(XLOOKUP(L109, ACP_Norm_Red!A:A, ACP_Norm_Red!F:F, "")*$C$7) +
(XLOOKUP(L109, ACP_Norm_Red!A:A, ACP_Norm_Red!G:G, "")*$C$8) +
(XLOOKUP(L109, ACP_Norm_Red!A:A, ACP_Norm_Red!H:H, "")*$C$9)</f>
        <v>-0.1413702363</v>
      </c>
      <c r="O109" s="3">
        <f t="array" ref="O109">(XLOOKUP(L109, ACP_Norm_Red!A:A, ACP_Norm_Red!B:B, "")*$D$3) + 
(XLOOKUP(L109, ACP_Norm_Red!A:A, ACP_Norm_Red!C:C, "")*$D$4) + 
(XLOOKUP(L109, ACP_Norm_Red!A:A, ACP_Norm_Red!D:D, "")*$D$5) +
(XLOOKUP(L109, ACP_Norm_Red!A:A, ACP_Norm_Red!E:E, "")*$D$6) +
(XLOOKUP(L109, ACP_Norm_Red!A:A, ACP_Norm_Red!F:F, "")*$D$7) +
(XLOOKUP(L109, ACP_Norm_Red!A:A, ACP_Norm_Red!G:G, "")*$D$8) +
(XLOOKUP(L109, ACP_Norm_Red!A:A, ACP_Norm_Red!H:H, "")*$D$9)</f>
        <v>0.10716932</v>
      </c>
    </row>
    <row r="110">
      <c r="L110" s="15" t="str">
        <f>'Récap'!A7</f>
        <v>b2c90b16a2864cf16993f00192cdb13ee656ac6cd53f745acd473a25224cd05d</v>
      </c>
      <c r="M110" s="3">
        <f t="array" ref="M110">(XLOOKUP(L110, ACP_Norm_Red!A:A, ACP_Norm_Red!B:B, "")*$B$3) + 
(XLOOKUP(L110, ACP_Norm_Red!A:A, ACP_Norm_Red!C:C, "")*$B$4) + 
(XLOOKUP(L110, ACP_Norm_Red!A:A, ACP_Norm_Red!D:D, "")*$B$5) +
(XLOOKUP(L110, ACP_Norm_Red!A:A, ACP_Norm_Red!E:E, "")*$B$6) +
(XLOOKUP(L110, ACP_Norm_Red!A:A, ACP_Norm_Red!F:F, "")*$B$7) +
(XLOOKUP(L110, ACP_Norm_Red!A:A, ACP_Norm_Red!G:G, "")*$B$8) +
(XLOOKUP(L110, ACP_Norm_Red!A:A, ACP_Norm_Red!H:H, "")*$B$9)</f>
        <v>2.535672604</v>
      </c>
      <c r="N110" s="3">
        <f t="array" ref="N110">(XLOOKUP(L110, ACP_Norm_Red!A:A, ACP_Norm_Red!B:B, "")*$C$3) + 
(XLOOKUP(L110, ACP_Norm_Red!A:A, ACP_Norm_Red!C:C, "")*$C$4) + 
(XLOOKUP(L110, ACP_Norm_Red!A:A, ACP_Norm_Red!D:D, "")*$C$5) +
(XLOOKUP(L110, ACP_Norm_Red!A:A, ACP_Norm_Red!E:E, "")*$C$6) +
(XLOOKUP(L110, ACP_Norm_Red!A:A, ACP_Norm_Red!F:F, "")*$C$7) +
(XLOOKUP(L110, ACP_Norm_Red!A:A, ACP_Norm_Red!G:G, "")*$C$8) +
(XLOOKUP(L110, ACP_Norm_Red!A:A, ACP_Norm_Red!H:H, "")*$C$9)</f>
        <v>3.153571369</v>
      </c>
      <c r="O110" s="3">
        <f t="array" ref="O110">(XLOOKUP(L110, ACP_Norm_Red!A:A, ACP_Norm_Red!B:B, "")*$D$3) + 
(XLOOKUP(L110, ACP_Norm_Red!A:A, ACP_Norm_Red!C:C, "")*$D$4) + 
(XLOOKUP(L110, ACP_Norm_Red!A:A, ACP_Norm_Red!D:D, "")*$D$5) +
(XLOOKUP(L110, ACP_Norm_Red!A:A, ACP_Norm_Red!E:E, "")*$D$6) +
(XLOOKUP(L110, ACP_Norm_Red!A:A, ACP_Norm_Red!F:F, "")*$D$7) +
(XLOOKUP(L110, ACP_Norm_Red!A:A, ACP_Norm_Red!G:G, "")*$D$8) +
(XLOOKUP(L110, ACP_Norm_Red!A:A, ACP_Norm_Red!H:H, "")*$D$9)</f>
        <v>-1.130722986</v>
      </c>
    </row>
    <row r="111">
      <c r="L111" s="15" t="str">
        <f>'Récap'!A2</f>
        <v>13b34a353ac9ea6554f0bfc998b55f394ed800dfc03b32dc37d311d2551a5749</v>
      </c>
      <c r="M111" s="3">
        <f t="array" ref="M111">(XLOOKUP(L111, ACP_Norm_Red!A:A, ACP_Norm_Red!B:B, "")*$B$3) + 
(XLOOKUP(L111, ACP_Norm_Red!A:A, ACP_Norm_Red!C:C, "")*$B$4) + 
(XLOOKUP(L111, ACP_Norm_Red!A:A, ACP_Norm_Red!D:D, "")*$B$5) +
(XLOOKUP(L111, ACP_Norm_Red!A:A, ACP_Norm_Red!E:E, "")*$B$6) +
(XLOOKUP(L111, ACP_Norm_Red!A:A, ACP_Norm_Red!F:F, "")*$B$7) +
(XLOOKUP(L111, ACP_Norm_Red!A:A, ACP_Norm_Red!G:G, "")*$B$8) +
(XLOOKUP(L111, ACP_Norm_Red!A:A, ACP_Norm_Red!H:H, "")*$B$9)</f>
        <v>-2.223892889</v>
      </c>
      <c r="N111" s="3">
        <f t="array" ref="N111">(XLOOKUP(L111, ACP_Norm_Red!A:A, ACP_Norm_Red!B:B, "")*$C$3) + 
(XLOOKUP(L111, ACP_Norm_Red!A:A, ACP_Norm_Red!C:C, "")*$C$4) + 
(XLOOKUP(L111, ACP_Norm_Red!A:A, ACP_Norm_Red!D:D, "")*$C$5) +
(XLOOKUP(L111, ACP_Norm_Red!A:A, ACP_Norm_Red!E:E, "")*$C$6) +
(XLOOKUP(L111, ACP_Norm_Red!A:A, ACP_Norm_Red!F:F, "")*$C$7) +
(XLOOKUP(L111, ACP_Norm_Red!A:A, ACP_Norm_Red!G:G, "")*$C$8) +
(XLOOKUP(L111, ACP_Norm_Red!A:A, ACP_Norm_Red!H:H, "")*$C$9)</f>
        <v>0.5321379229</v>
      </c>
      <c r="O111" s="3">
        <f t="array" ref="O111">(XLOOKUP(L111, ACP_Norm_Red!A:A, ACP_Norm_Red!B:B, "")*$D$3) + 
(XLOOKUP(L111, ACP_Norm_Red!A:A, ACP_Norm_Red!C:C, "")*$D$4) + 
(XLOOKUP(L111, ACP_Norm_Red!A:A, ACP_Norm_Red!D:D, "")*$D$5) +
(XLOOKUP(L111, ACP_Norm_Red!A:A, ACP_Norm_Red!E:E, "")*$D$6) +
(XLOOKUP(L111, ACP_Norm_Red!A:A, ACP_Norm_Red!F:F, "")*$D$7) +
(XLOOKUP(L111, ACP_Norm_Red!A:A, ACP_Norm_Red!G:G, "")*$D$8) +
(XLOOKUP(L111, ACP_Norm_Red!A:A, ACP_Norm_Red!H:H, "")*$D$9)</f>
        <v>-4.053732506</v>
      </c>
    </row>
    <row r="112">
      <c r="L112" s="15" t="str">
        <f>'Récap'!A112</f>
        <v/>
      </c>
    </row>
    <row r="113">
      <c r="L113" s="15" t="str">
        <f>'Récap'!A113</f>
        <v/>
      </c>
    </row>
    <row r="114">
      <c r="L114" s="15" t="str">
        <f>'Récap'!A114</f>
        <v/>
      </c>
    </row>
    <row r="115">
      <c r="L115" s="15" t="str">
        <f>'Récap'!A115</f>
        <v/>
      </c>
    </row>
    <row r="116">
      <c r="L116" s="15" t="str">
        <f>'Récap'!A116</f>
        <v/>
      </c>
    </row>
    <row r="117">
      <c r="L117" s="15" t="str">
        <f>'Récap'!A117</f>
        <v/>
      </c>
    </row>
    <row r="118">
      <c r="L118" s="15" t="str">
        <f>'Récap'!A118</f>
        <v/>
      </c>
    </row>
    <row r="119">
      <c r="L119" s="15" t="str">
        <f>'Récap'!A119</f>
        <v/>
      </c>
    </row>
    <row r="120">
      <c r="L120" s="15" t="str">
        <f>'Récap'!A120</f>
        <v/>
      </c>
    </row>
    <row r="121">
      <c r="L121" s="15" t="str">
        <f>'Récap'!A121</f>
        <v/>
      </c>
    </row>
    <row r="122">
      <c r="L122" s="15" t="str">
        <f>'Récap'!A122</f>
        <v/>
      </c>
    </row>
    <row r="123">
      <c r="L123" s="15" t="str">
        <f>'Récap'!A123</f>
        <v/>
      </c>
    </row>
    <row r="124">
      <c r="L124" s="15" t="str">
        <f>'Récap'!A124</f>
        <v/>
      </c>
    </row>
    <row r="125">
      <c r="L125" s="15" t="str">
        <f>'Récap'!A125</f>
        <v/>
      </c>
    </row>
    <row r="126">
      <c r="L126" s="15" t="str">
        <f>'Récap'!A126</f>
        <v/>
      </c>
    </row>
    <row r="127">
      <c r="L127" s="15" t="str">
        <f>'Récap'!A127</f>
        <v/>
      </c>
    </row>
    <row r="128">
      <c r="L128" s="15" t="str">
        <f>'Récap'!A128</f>
        <v/>
      </c>
    </row>
    <row r="129">
      <c r="L129" s="15" t="str">
        <f>'Récap'!A129</f>
        <v/>
      </c>
    </row>
    <row r="130">
      <c r="L130" s="15" t="str">
        <f>'Récap'!A130</f>
        <v/>
      </c>
    </row>
  </sheetData>
  <autoFilter ref="$L$1:$O$111">
    <sortState ref="L1:O111">
      <sortCondition descending="1" ref="N1:N111"/>
      <sortCondition descending="1" ref="M1:M111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6.0"/>
    <col customWidth="1" min="3" max="3" width="46.88"/>
  </cols>
  <sheetData>
    <row r="1">
      <c r="A1" s="8"/>
      <c r="B1" s="7" t="str">
        <f>'Récap'!E1</f>
        <v>EQ</v>
      </c>
      <c r="C1" s="7" t="str">
        <f>'Récap'!F1</f>
        <v>RED</v>
      </c>
      <c r="D1" s="8" t="str">
        <f>'Récap'!G1</f>
        <v>Comp_Count</v>
      </c>
      <c r="E1" s="8" t="str">
        <f>'Récap'!H1</f>
        <v>Sess_Count</v>
      </c>
      <c r="F1" s="8" t="str">
        <f>'Récap'!I1</f>
        <v>Comp_FP_Ratio</v>
      </c>
      <c r="G1" s="8" t="str">
        <f>'Récap'!J1</f>
        <v>Frac_Long</v>
      </c>
      <c r="H1" s="8" t="str">
        <f>'Récap'!K1</f>
        <v>Mean_Test</v>
      </c>
    </row>
    <row r="2">
      <c r="A2" s="18" t="s">
        <v>148</v>
      </c>
      <c r="B2" s="18">
        <f t="shared" ref="B2:H2" si="1">QUARTILE(INDIRECT("'"&amp;B$1&amp;"'!B:B"),1)</f>
        <v>0.125</v>
      </c>
      <c r="C2" s="18">
        <f t="shared" si="1"/>
        <v>0.0625</v>
      </c>
      <c r="D2" s="18">
        <f t="shared" si="1"/>
        <v>5</v>
      </c>
      <c r="E2" s="18">
        <f t="shared" si="1"/>
        <v>1</v>
      </c>
      <c r="F2" s="18">
        <f t="shared" si="1"/>
        <v>0.25</v>
      </c>
      <c r="G2" s="18">
        <f t="shared" si="1"/>
        <v>0</v>
      </c>
      <c r="H2" s="18">
        <f t="shared" si="1"/>
        <v>0.2</v>
      </c>
    </row>
    <row r="3">
      <c r="A3" s="18" t="s">
        <v>149</v>
      </c>
      <c r="B3" s="18">
        <f t="shared" ref="B3:H3" si="2">QUARTILE(INDIRECT("'"&amp;B$1&amp;"'!B:B"),2)</f>
        <v>0.3333333333</v>
      </c>
      <c r="C3" s="18">
        <f t="shared" si="2"/>
        <v>0.215838505</v>
      </c>
      <c r="D3" s="18">
        <f t="shared" si="2"/>
        <v>10</v>
      </c>
      <c r="E3" s="18">
        <f t="shared" si="2"/>
        <v>2</v>
      </c>
      <c r="F3" s="18">
        <f t="shared" si="2"/>
        <v>0.5</v>
      </c>
      <c r="G3" s="18">
        <f t="shared" si="2"/>
        <v>0.07142857143</v>
      </c>
      <c r="H3" s="18">
        <f t="shared" si="2"/>
        <v>0.41388889</v>
      </c>
    </row>
    <row r="4">
      <c r="A4" s="18" t="s">
        <v>150</v>
      </c>
      <c r="B4" s="18">
        <f t="shared" ref="B4:H4" si="3">QUARTILE(INDIRECT("'"&amp;B$1&amp;"'!B:B"),3)</f>
        <v>0.6666666667</v>
      </c>
      <c r="C4" s="18">
        <f t="shared" si="3"/>
        <v>0.53020833</v>
      </c>
      <c r="D4" s="18">
        <f t="shared" si="3"/>
        <v>18</v>
      </c>
      <c r="E4" s="18">
        <f t="shared" si="3"/>
        <v>3</v>
      </c>
      <c r="F4" s="18">
        <f t="shared" si="3"/>
        <v>0.75</v>
      </c>
      <c r="G4" s="18">
        <f t="shared" si="3"/>
        <v>0.1428571429</v>
      </c>
      <c r="H4" s="18">
        <f t="shared" si="3"/>
        <v>0.579510335</v>
      </c>
    </row>
    <row r="5">
      <c r="A5" s="18" t="s">
        <v>151</v>
      </c>
      <c r="B5" s="18">
        <f t="shared" ref="B5:H5" si="4">QUARTILE(INDIRECT("'"&amp;B$1&amp;"'!B:B"),4)</f>
        <v>1</v>
      </c>
      <c r="C5" s="18">
        <f t="shared" si="4"/>
        <v>0.93333333</v>
      </c>
      <c r="D5" s="18">
        <f t="shared" si="4"/>
        <v>60</v>
      </c>
      <c r="E5" s="18">
        <f t="shared" si="4"/>
        <v>6</v>
      </c>
      <c r="F5" s="18">
        <f t="shared" si="4"/>
        <v>1</v>
      </c>
      <c r="G5" s="18">
        <f t="shared" si="4"/>
        <v>0.6666666667</v>
      </c>
      <c r="H5" s="18">
        <f t="shared" si="4"/>
        <v>1</v>
      </c>
    </row>
    <row r="6">
      <c r="A6" s="18"/>
      <c r="B6" s="18"/>
    </row>
    <row r="7">
      <c r="A7" s="10"/>
      <c r="B7" s="18"/>
    </row>
    <row r="8">
      <c r="A8" s="10"/>
      <c r="B8" s="18"/>
    </row>
    <row r="9">
      <c r="A9" s="10"/>
    </row>
    <row r="10">
      <c r="A10" s="7" t="s">
        <v>3</v>
      </c>
      <c r="B10" s="7" t="s">
        <v>152</v>
      </c>
      <c r="C10" s="7" t="s">
        <v>153</v>
      </c>
      <c r="D10" s="2" t="s">
        <v>154</v>
      </c>
    </row>
    <row r="11">
      <c r="A11" s="3" t="s">
        <v>155</v>
      </c>
      <c r="B11" s="18" t="s">
        <v>156</v>
      </c>
      <c r="C11" s="2" t="s">
        <v>157</v>
      </c>
      <c r="D11" s="3">
        <f>COUNTIF('Récap'!D:D,A11)</f>
        <v>10</v>
      </c>
    </row>
    <row r="12">
      <c r="A12" s="3" t="s">
        <v>158</v>
      </c>
      <c r="B12" s="18" t="s">
        <v>159</v>
      </c>
      <c r="C12" s="2" t="s">
        <v>160</v>
      </c>
      <c r="D12" s="3">
        <f>COUNTIF('Récap'!D:D,A12)</f>
        <v>24</v>
      </c>
    </row>
    <row r="13">
      <c r="A13" s="3" t="s">
        <v>161</v>
      </c>
      <c r="B13" s="18" t="s">
        <v>162</v>
      </c>
      <c r="C13" s="2" t="s">
        <v>163</v>
      </c>
      <c r="D13" s="3">
        <f>COUNTIF('Récap'!D:D,A13)</f>
        <v>24</v>
      </c>
    </row>
    <row r="14">
      <c r="A14" s="3" t="s">
        <v>164</v>
      </c>
      <c r="B14" s="2" t="s">
        <v>165</v>
      </c>
      <c r="C14" s="2" t="s">
        <v>166</v>
      </c>
      <c r="D14" s="3">
        <f>COUNTIF('Récap'!D:D,A14)</f>
        <v>8</v>
      </c>
    </row>
    <row r="15">
      <c r="A15" s="3" t="s">
        <v>167</v>
      </c>
      <c r="B15" s="2" t="s">
        <v>168</v>
      </c>
      <c r="C15" s="2" t="s">
        <v>169</v>
      </c>
      <c r="D15" s="3">
        <f>COUNTIF('Récap'!D:D,A15)</f>
        <v>9</v>
      </c>
    </row>
    <row r="16">
      <c r="A16" s="3" t="s">
        <v>170</v>
      </c>
      <c r="B16" s="2" t="s">
        <v>171</v>
      </c>
      <c r="C16" s="2" t="s">
        <v>172</v>
      </c>
      <c r="D16" s="3">
        <f>COUNTIF('Récap'!D:D,A16)</f>
        <v>35</v>
      </c>
    </row>
  </sheetData>
  <conditionalFormatting sqref="A11:A16">
    <cfRule type="cellIs" dxfId="3" priority="1" operator="equal">
      <formula>"Efficace"</formula>
    </cfRule>
  </conditionalFormatting>
  <conditionalFormatting sqref="A11:A16">
    <cfRule type="cellIs" dxfId="4" priority="2" operator="equal">
      <formula>"Peu actif"</formula>
    </cfRule>
  </conditionalFormatting>
  <conditionalFormatting sqref="A11:A16">
    <cfRule type="cellIs" dxfId="5" priority="3" operator="equal">
      <formula>"Intermédiaire"</formula>
    </cfRule>
  </conditionalFormatting>
  <conditionalFormatting sqref="A11:A16">
    <cfRule type="cellIs" dxfId="6" priority="4" operator="equal">
      <formula>"Sporadique"</formula>
    </cfRule>
  </conditionalFormatting>
  <conditionalFormatting sqref="A11:A16">
    <cfRule type="cellIs" dxfId="7" priority="5" operator="equal">
      <formula>"Persévérant"</formula>
    </cfRule>
  </conditionalFormatting>
  <conditionalFormatting sqref="A11:A16">
    <cfRule type="cellIs" dxfId="8" priority="6" operator="equal">
      <formula>"Bloqué"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173</v>
      </c>
      <c r="B1" s="2" t="s">
        <v>174</v>
      </c>
      <c r="C1" s="2" t="s">
        <v>175</v>
      </c>
      <c r="D1" s="2" t="s">
        <v>176</v>
      </c>
    </row>
    <row r="2">
      <c r="A2" s="2" t="s">
        <v>79</v>
      </c>
      <c r="B2" s="2" t="s">
        <v>177</v>
      </c>
      <c r="C2" s="19" t="s">
        <v>178</v>
      </c>
      <c r="D2" s="2" t="s">
        <v>179</v>
      </c>
    </row>
    <row r="3">
      <c r="A3" s="2" t="s">
        <v>180</v>
      </c>
      <c r="B3" s="2" t="s">
        <v>181</v>
      </c>
      <c r="C3" s="19" t="s">
        <v>182</v>
      </c>
      <c r="D3" s="2" t="s">
        <v>183</v>
      </c>
    </row>
    <row r="4">
      <c r="A4" s="2" t="s">
        <v>60</v>
      </c>
      <c r="B4" s="2" t="s">
        <v>184</v>
      </c>
      <c r="C4" s="19" t="s">
        <v>185</v>
      </c>
      <c r="D4" s="2" t="s">
        <v>186</v>
      </c>
    </row>
    <row r="5">
      <c r="A5" s="2" t="s">
        <v>48</v>
      </c>
      <c r="B5" s="2" t="s">
        <v>187</v>
      </c>
      <c r="C5" s="19" t="s">
        <v>188</v>
      </c>
      <c r="D5" s="2" t="s">
        <v>189</v>
      </c>
    </row>
    <row r="6">
      <c r="A6" s="2" t="s">
        <v>69</v>
      </c>
      <c r="B6" s="2" t="s">
        <v>190</v>
      </c>
      <c r="C6" s="19" t="s">
        <v>191</v>
      </c>
      <c r="D6" s="2" t="s">
        <v>192</v>
      </c>
    </row>
    <row r="7">
      <c r="A7" s="2" t="s">
        <v>32</v>
      </c>
      <c r="B7" s="2" t="s">
        <v>193</v>
      </c>
      <c r="C7" s="19" t="s">
        <v>194</v>
      </c>
      <c r="D7" s="2" t="s">
        <v>195</v>
      </c>
    </row>
    <row r="8">
      <c r="A8" s="2" t="s">
        <v>71</v>
      </c>
      <c r="B8" s="2" t="s">
        <v>196</v>
      </c>
      <c r="C8" s="19" t="s">
        <v>197</v>
      </c>
      <c r="D8" s="2" t="s">
        <v>198</v>
      </c>
    </row>
    <row r="9">
      <c r="A9" s="2" t="s">
        <v>46</v>
      </c>
      <c r="B9" s="2" t="s">
        <v>199</v>
      </c>
      <c r="C9" s="19" t="s">
        <v>200</v>
      </c>
      <c r="D9" s="2" t="s">
        <v>201</v>
      </c>
    </row>
    <row r="10">
      <c r="A10" s="2" t="s">
        <v>111</v>
      </c>
      <c r="B10" s="2" t="s">
        <v>202</v>
      </c>
      <c r="C10" s="19" t="s">
        <v>203</v>
      </c>
      <c r="D10" s="2" t="s">
        <v>204</v>
      </c>
    </row>
    <row r="11">
      <c r="A11" s="2" t="s">
        <v>205</v>
      </c>
      <c r="B11" s="2" t="s">
        <v>206</v>
      </c>
      <c r="C11" s="19" t="s">
        <v>207</v>
      </c>
      <c r="D11" s="2" t="s">
        <v>208</v>
      </c>
    </row>
    <row r="12">
      <c r="A12" s="2" t="s">
        <v>135</v>
      </c>
      <c r="B12" s="2" t="s">
        <v>209</v>
      </c>
      <c r="C12" s="19" t="s">
        <v>210</v>
      </c>
      <c r="D12" s="2" t="s">
        <v>211</v>
      </c>
    </row>
    <row r="13">
      <c r="A13" s="2" t="s">
        <v>212</v>
      </c>
      <c r="B13" s="2" t="s">
        <v>213</v>
      </c>
      <c r="C13" s="19" t="s">
        <v>214</v>
      </c>
      <c r="D13" s="2" t="s">
        <v>215</v>
      </c>
    </row>
    <row r="14">
      <c r="A14" s="2" t="s">
        <v>216</v>
      </c>
      <c r="B14" s="2" t="s">
        <v>217</v>
      </c>
      <c r="C14" s="19" t="s">
        <v>218</v>
      </c>
      <c r="D14" s="2" t="s">
        <v>219</v>
      </c>
    </row>
    <row r="15">
      <c r="A15" s="2" t="s">
        <v>95</v>
      </c>
      <c r="B15" s="2" t="s">
        <v>220</v>
      </c>
      <c r="C15" s="19" t="s">
        <v>221</v>
      </c>
      <c r="D15" s="2" t="s">
        <v>222</v>
      </c>
    </row>
    <row r="16">
      <c r="A16" s="2" t="s">
        <v>63</v>
      </c>
      <c r="B16" s="2" t="s">
        <v>223</v>
      </c>
      <c r="C16" s="19" t="s">
        <v>224</v>
      </c>
      <c r="D16" s="2" t="s">
        <v>225</v>
      </c>
    </row>
    <row r="17">
      <c r="A17" s="2" t="s">
        <v>86</v>
      </c>
      <c r="B17" s="2" t="s">
        <v>226</v>
      </c>
      <c r="C17" s="19" t="s">
        <v>227</v>
      </c>
      <c r="D17" s="2" t="s">
        <v>228</v>
      </c>
    </row>
    <row r="18">
      <c r="A18" s="2" t="s">
        <v>116</v>
      </c>
      <c r="B18" s="2" t="s">
        <v>229</v>
      </c>
      <c r="C18" s="19" t="s">
        <v>230</v>
      </c>
      <c r="D18" s="2" t="s">
        <v>231</v>
      </c>
    </row>
    <row r="19">
      <c r="A19" s="2" t="s">
        <v>96</v>
      </c>
      <c r="B19" s="2" t="s">
        <v>232</v>
      </c>
      <c r="C19" s="19" t="s">
        <v>233</v>
      </c>
      <c r="D19" s="2" t="s">
        <v>234</v>
      </c>
    </row>
    <row r="20">
      <c r="A20" s="2" t="s">
        <v>235</v>
      </c>
      <c r="B20" s="2" t="s">
        <v>236</v>
      </c>
      <c r="C20" s="19" t="s">
        <v>237</v>
      </c>
      <c r="D20" s="2" t="s">
        <v>238</v>
      </c>
    </row>
    <row r="21">
      <c r="A21" s="2" t="s">
        <v>110</v>
      </c>
      <c r="B21" s="2" t="s">
        <v>239</v>
      </c>
      <c r="C21" s="19" t="s">
        <v>240</v>
      </c>
      <c r="D21" s="2" t="s">
        <v>241</v>
      </c>
    </row>
    <row r="22">
      <c r="A22" s="2" t="s">
        <v>120</v>
      </c>
      <c r="B22" s="2" t="s">
        <v>242</v>
      </c>
      <c r="C22" s="19" t="s">
        <v>243</v>
      </c>
      <c r="D22" s="2" t="s">
        <v>244</v>
      </c>
    </row>
    <row r="23">
      <c r="A23" s="2" t="s">
        <v>77</v>
      </c>
      <c r="B23" s="2" t="s">
        <v>245</v>
      </c>
      <c r="C23" s="19" t="s">
        <v>246</v>
      </c>
      <c r="D23" s="2" t="s">
        <v>247</v>
      </c>
    </row>
    <row r="24">
      <c r="A24" s="2" t="s">
        <v>94</v>
      </c>
      <c r="B24" s="2" t="s">
        <v>248</v>
      </c>
      <c r="C24" s="19" t="s">
        <v>249</v>
      </c>
      <c r="D24" s="2" t="s">
        <v>250</v>
      </c>
    </row>
    <row r="25">
      <c r="A25" s="2" t="s">
        <v>87</v>
      </c>
      <c r="B25" s="2" t="s">
        <v>251</v>
      </c>
      <c r="C25" s="19" t="s">
        <v>252</v>
      </c>
      <c r="D25" s="2" t="s">
        <v>253</v>
      </c>
    </row>
    <row r="26">
      <c r="A26" s="2" t="s">
        <v>29</v>
      </c>
      <c r="B26" s="2" t="s">
        <v>254</v>
      </c>
      <c r="C26" s="19" t="s">
        <v>255</v>
      </c>
      <c r="D26" s="2" t="s">
        <v>256</v>
      </c>
    </row>
    <row r="27">
      <c r="A27" s="2" t="s">
        <v>257</v>
      </c>
      <c r="B27" s="2" t="s">
        <v>258</v>
      </c>
      <c r="C27" s="19" t="s">
        <v>259</v>
      </c>
      <c r="D27" s="2" t="s">
        <v>260</v>
      </c>
    </row>
    <row r="28">
      <c r="A28" s="2" t="s">
        <v>129</v>
      </c>
      <c r="B28" s="2" t="s">
        <v>261</v>
      </c>
      <c r="C28" s="19" t="s">
        <v>262</v>
      </c>
      <c r="D28" s="2" t="s">
        <v>263</v>
      </c>
    </row>
    <row r="29">
      <c r="A29" s="2" t="s">
        <v>100</v>
      </c>
      <c r="B29" s="2" t="s">
        <v>264</v>
      </c>
      <c r="C29" s="19" t="s">
        <v>265</v>
      </c>
      <c r="D29" s="2" t="s">
        <v>266</v>
      </c>
    </row>
    <row r="30">
      <c r="A30" s="2" t="s">
        <v>122</v>
      </c>
      <c r="B30" s="2" t="s">
        <v>267</v>
      </c>
      <c r="C30" s="19" t="s">
        <v>268</v>
      </c>
      <c r="D30" s="2" t="s">
        <v>269</v>
      </c>
    </row>
    <row r="31">
      <c r="A31" s="2" t="s">
        <v>137</v>
      </c>
      <c r="B31" s="2" t="s">
        <v>270</v>
      </c>
      <c r="C31" s="19" t="s">
        <v>271</v>
      </c>
      <c r="D31" s="2" t="s">
        <v>272</v>
      </c>
    </row>
    <row r="32">
      <c r="A32" s="2" t="s">
        <v>118</v>
      </c>
      <c r="B32" s="2" t="s">
        <v>273</v>
      </c>
      <c r="C32" s="19" t="s">
        <v>274</v>
      </c>
      <c r="D32" s="2" t="s">
        <v>275</v>
      </c>
    </row>
    <row r="33">
      <c r="A33" s="2" t="s">
        <v>276</v>
      </c>
      <c r="B33" s="2" t="s">
        <v>277</v>
      </c>
      <c r="C33" s="19" t="s">
        <v>278</v>
      </c>
      <c r="D33" s="2" t="s">
        <v>279</v>
      </c>
    </row>
    <row r="34">
      <c r="A34" s="2" t="s">
        <v>115</v>
      </c>
      <c r="B34" s="2" t="s">
        <v>280</v>
      </c>
      <c r="C34" s="19" t="s">
        <v>281</v>
      </c>
      <c r="D34" s="2" t="s">
        <v>282</v>
      </c>
    </row>
    <row r="35">
      <c r="A35" s="2" t="s">
        <v>76</v>
      </c>
      <c r="B35" s="2" t="s">
        <v>283</v>
      </c>
      <c r="C35" s="19" t="s">
        <v>284</v>
      </c>
      <c r="D35" s="2" t="s">
        <v>285</v>
      </c>
    </row>
    <row r="36">
      <c r="A36" s="2" t="s">
        <v>88</v>
      </c>
      <c r="B36" s="2" t="s">
        <v>286</v>
      </c>
      <c r="C36" s="19" t="s">
        <v>287</v>
      </c>
      <c r="D36" s="2" t="s">
        <v>288</v>
      </c>
    </row>
    <row r="37">
      <c r="A37" s="2" t="s">
        <v>41</v>
      </c>
      <c r="B37" s="2" t="s">
        <v>289</v>
      </c>
      <c r="C37" s="19" t="s">
        <v>290</v>
      </c>
      <c r="D37" s="2" t="s">
        <v>291</v>
      </c>
    </row>
    <row r="38">
      <c r="A38" s="2" t="s">
        <v>104</v>
      </c>
      <c r="B38" s="2" t="s">
        <v>292</v>
      </c>
      <c r="C38" s="19" t="s">
        <v>293</v>
      </c>
      <c r="D38" s="2" t="s">
        <v>294</v>
      </c>
    </row>
    <row r="39">
      <c r="A39" s="2" t="s">
        <v>295</v>
      </c>
      <c r="B39" s="2" t="s">
        <v>296</v>
      </c>
      <c r="C39" s="19" t="s">
        <v>297</v>
      </c>
      <c r="D39" s="2" t="s">
        <v>298</v>
      </c>
    </row>
    <row r="40">
      <c r="A40" s="2" t="s">
        <v>299</v>
      </c>
      <c r="B40" s="2" t="s">
        <v>300</v>
      </c>
      <c r="C40" s="19" t="s">
        <v>301</v>
      </c>
      <c r="D40" s="2" t="s">
        <v>302</v>
      </c>
    </row>
    <row r="41">
      <c r="A41" s="2" t="s">
        <v>133</v>
      </c>
      <c r="B41" s="2" t="s">
        <v>303</v>
      </c>
      <c r="C41" s="19" t="s">
        <v>304</v>
      </c>
      <c r="D41" s="2" t="s">
        <v>305</v>
      </c>
    </row>
    <row r="42">
      <c r="A42" s="2" t="s">
        <v>306</v>
      </c>
      <c r="B42" s="2" t="s">
        <v>307</v>
      </c>
      <c r="C42" s="19" t="s">
        <v>308</v>
      </c>
      <c r="D42" s="2" t="s">
        <v>309</v>
      </c>
    </row>
    <row r="43">
      <c r="A43" s="2" t="s">
        <v>67</v>
      </c>
      <c r="B43" s="2" t="s">
        <v>310</v>
      </c>
      <c r="C43" s="19" t="s">
        <v>311</v>
      </c>
      <c r="D43" s="2" t="s">
        <v>312</v>
      </c>
    </row>
    <row r="44">
      <c r="A44" s="2" t="s">
        <v>108</v>
      </c>
      <c r="B44" s="2" t="s">
        <v>313</v>
      </c>
      <c r="C44" s="19" t="s">
        <v>314</v>
      </c>
      <c r="D44" s="2" t="s">
        <v>315</v>
      </c>
    </row>
    <row r="45">
      <c r="A45" s="2" t="s">
        <v>316</v>
      </c>
      <c r="B45" s="2" t="s">
        <v>317</v>
      </c>
      <c r="C45" s="19" t="s">
        <v>318</v>
      </c>
      <c r="D45" s="2" t="s">
        <v>319</v>
      </c>
    </row>
    <row r="46">
      <c r="A46" s="2" t="s">
        <v>39</v>
      </c>
      <c r="B46" s="2" t="s">
        <v>320</v>
      </c>
      <c r="C46" s="19" t="s">
        <v>321</v>
      </c>
      <c r="D46" s="2" t="s">
        <v>322</v>
      </c>
    </row>
    <row r="47">
      <c r="A47" s="2" t="s">
        <v>56</v>
      </c>
      <c r="B47" s="2" t="s">
        <v>323</v>
      </c>
      <c r="C47" s="19" t="s">
        <v>324</v>
      </c>
      <c r="D47" s="2" t="s">
        <v>325</v>
      </c>
    </row>
    <row r="48">
      <c r="A48" s="2" t="s">
        <v>55</v>
      </c>
      <c r="B48" s="2" t="s">
        <v>326</v>
      </c>
      <c r="C48" s="19" t="s">
        <v>327</v>
      </c>
      <c r="D48" s="2" t="s">
        <v>328</v>
      </c>
    </row>
    <row r="49">
      <c r="A49" s="2" t="s">
        <v>78</v>
      </c>
      <c r="B49" s="2" t="s">
        <v>329</v>
      </c>
      <c r="C49" s="19" t="s">
        <v>330</v>
      </c>
      <c r="D49" s="2" t="s">
        <v>331</v>
      </c>
    </row>
    <row r="50">
      <c r="A50" s="2" t="s">
        <v>332</v>
      </c>
      <c r="B50" s="2" t="s">
        <v>333</v>
      </c>
      <c r="C50" s="19" t="s">
        <v>334</v>
      </c>
      <c r="D50" s="2" t="s">
        <v>335</v>
      </c>
    </row>
    <row r="51">
      <c r="A51" s="2" t="s">
        <v>83</v>
      </c>
      <c r="B51" s="2" t="s">
        <v>336</v>
      </c>
      <c r="C51" s="19" t="s">
        <v>337</v>
      </c>
      <c r="D51" s="2" t="s">
        <v>338</v>
      </c>
    </row>
    <row r="52">
      <c r="A52" s="2" t="s">
        <v>34</v>
      </c>
      <c r="B52" s="2" t="s">
        <v>339</v>
      </c>
      <c r="C52" s="19" t="s">
        <v>340</v>
      </c>
      <c r="D52" s="2" t="s">
        <v>341</v>
      </c>
    </row>
    <row r="53">
      <c r="A53" s="2" t="s">
        <v>134</v>
      </c>
      <c r="B53" s="2" t="s">
        <v>342</v>
      </c>
      <c r="C53" s="19" t="s">
        <v>343</v>
      </c>
      <c r="D53" s="2" t="s">
        <v>344</v>
      </c>
    </row>
    <row r="54">
      <c r="A54" s="2" t="s">
        <v>81</v>
      </c>
      <c r="B54" s="2" t="s">
        <v>345</v>
      </c>
      <c r="C54" s="19" t="s">
        <v>346</v>
      </c>
      <c r="D54" s="2" t="s">
        <v>347</v>
      </c>
    </row>
    <row r="55">
      <c r="A55" s="2" t="s">
        <v>80</v>
      </c>
      <c r="B55" s="2" t="s">
        <v>348</v>
      </c>
      <c r="C55" s="19" t="s">
        <v>349</v>
      </c>
      <c r="D55" s="2" t="s">
        <v>350</v>
      </c>
    </row>
    <row r="56">
      <c r="A56" s="2" t="s">
        <v>113</v>
      </c>
      <c r="B56" s="2" t="s">
        <v>351</v>
      </c>
      <c r="C56" s="19" t="s">
        <v>352</v>
      </c>
      <c r="D56" s="2" t="s">
        <v>353</v>
      </c>
    </row>
    <row r="57">
      <c r="A57" s="2" t="s">
        <v>354</v>
      </c>
      <c r="B57" s="2" t="s">
        <v>355</v>
      </c>
      <c r="C57" s="19" t="s">
        <v>356</v>
      </c>
      <c r="D57" s="2" t="s">
        <v>357</v>
      </c>
    </row>
    <row r="58">
      <c r="A58" s="2" t="s">
        <v>126</v>
      </c>
      <c r="B58" s="2" t="s">
        <v>358</v>
      </c>
      <c r="C58" s="19" t="s">
        <v>359</v>
      </c>
      <c r="D58" s="2" t="s">
        <v>360</v>
      </c>
    </row>
    <row r="59">
      <c r="A59" s="2" t="s">
        <v>102</v>
      </c>
      <c r="B59" s="2" t="s">
        <v>361</v>
      </c>
      <c r="C59" s="19" t="s">
        <v>362</v>
      </c>
      <c r="D59" s="2" t="s">
        <v>363</v>
      </c>
    </row>
    <row r="60">
      <c r="A60" s="2" t="s">
        <v>117</v>
      </c>
      <c r="B60" s="2" t="s">
        <v>364</v>
      </c>
      <c r="C60" s="19" t="s">
        <v>365</v>
      </c>
      <c r="D60" s="2" t="s">
        <v>366</v>
      </c>
    </row>
    <row r="61">
      <c r="A61" s="2" t="s">
        <v>64</v>
      </c>
      <c r="B61" s="2" t="s">
        <v>367</v>
      </c>
      <c r="C61" s="19" t="s">
        <v>368</v>
      </c>
      <c r="D61" s="2" t="s">
        <v>369</v>
      </c>
    </row>
    <row r="62">
      <c r="A62" s="2" t="s">
        <v>36</v>
      </c>
      <c r="B62" s="2" t="s">
        <v>370</v>
      </c>
      <c r="C62" s="19" t="s">
        <v>371</v>
      </c>
      <c r="D62" s="2" t="s">
        <v>372</v>
      </c>
    </row>
    <row r="63">
      <c r="A63" s="2" t="s">
        <v>49</v>
      </c>
      <c r="B63" s="2" t="s">
        <v>373</v>
      </c>
      <c r="C63" s="19" t="s">
        <v>374</v>
      </c>
      <c r="D63" s="2" t="s">
        <v>375</v>
      </c>
    </row>
    <row r="64">
      <c r="A64" s="2" t="s">
        <v>132</v>
      </c>
      <c r="B64" s="2" t="s">
        <v>376</v>
      </c>
      <c r="C64" s="19" t="s">
        <v>377</v>
      </c>
      <c r="D64" s="2" t="s">
        <v>378</v>
      </c>
    </row>
    <row r="65">
      <c r="A65" s="2" t="s">
        <v>45</v>
      </c>
      <c r="B65" s="2" t="s">
        <v>379</v>
      </c>
      <c r="C65" s="19" t="s">
        <v>380</v>
      </c>
      <c r="D65" s="2" t="s">
        <v>381</v>
      </c>
    </row>
    <row r="66">
      <c r="A66" s="2" t="s">
        <v>382</v>
      </c>
      <c r="B66" s="2" t="s">
        <v>383</v>
      </c>
      <c r="C66" s="19" t="s">
        <v>384</v>
      </c>
      <c r="D66" s="2" t="s">
        <v>385</v>
      </c>
    </row>
    <row r="67">
      <c r="A67" s="2" t="s">
        <v>386</v>
      </c>
      <c r="B67" s="2" t="s">
        <v>387</v>
      </c>
      <c r="C67" s="19" t="s">
        <v>388</v>
      </c>
      <c r="D67" s="2" t="s">
        <v>389</v>
      </c>
    </row>
    <row r="68">
      <c r="A68" s="2" t="s">
        <v>128</v>
      </c>
      <c r="B68" s="2" t="s">
        <v>390</v>
      </c>
      <c r="C68" s="19" t="s">
        <v>391</v>
      </c>
      <c r="D68" s="2" t="s">
        <v>392</v>
      </c>
    </row>
    <row r="69">
      <c r="A69" s="2" t="s">
        <v>57</v>
      </c>
      <c r="B69" s="2" t="s">
        <v>393</v>
      </c>
      <c r="C69" s="19" t="s">
        <v>394</v>
      </c>
      <c r="D69" s="2" t="s">
        <v>395</v>
      </c>
    </row>
    <row r="70">
      <c r="A70" s="2" t="s">
        <v>127</v>
      </c>
      <c r="B70" s="2" t="s">
        <v>396</v>
      </c>
      <c r="C70" s="19" t="s">
        <v>397</v>
      </c>
      <c r="D70" s="2" t="s">
        <v>398</v>
      </c>
    </row>
    <row r="71">
      <c r="A71" s="2" t="s">
        <v>58</v>
      </c>
      <c r="B71" s="2" t="s">
        <v>399</v>
      </c>
      <c r="C71" s="19" t="s">
        <v>400</v>
      </c>
      <c r="D71" s="2" t="s">
        <v>401</v>
      </c>
    </row>
    <row r="72">
      <c r="A72" s="2" t="s">
        <v>85</v>
      </c>
      <c r="B72" s="2" t="s">
        <v>402</v>
      </c>
      <c r="C72" s="19" t="s">
        <v>403</v>
      </c>
      <c r="D72" s="2" t="s">
        <v>404</v>
      </c>
    </row>
    <row r="73">
      <c r="A73" s="2" t="s">
        <v>54</v>
      </c>
      <c r="B73" s="2" t="s">
        <v>405</v>
      </c>
      <c r="C73" s="19" t="s">
        <v>406</v>
      </c>
      <c r="D73" s="2" t="s">
        <v>407</v>
      </c>
    </row>
    <row r="74">
      <c r="A74" s="2" t="s">
        <v>121</v>
      </c>
      <c r="B74" s="2" t="s">
        <v>408</v>
      </c>
      <c r="C74" s="19" t="s">
        <v>409</v>
      </c>
      <c r="D74" s="2" t="s">
        <v>410</v>
      </c>
    </row>
    <row r="75">
      <c r="A75" s="2" t="s">
        <v>70</v>
      </c>
      <c r="B75" s="2" t="s">
        <v>411</v>
      </c>
      <c r="C75" s="19" t="s">
        <v>412</v>
      </c>
      <c r="D75" s="2" t="s">
        <v>413</v>
      </c>
    </row>
    <row r="76">
      <c r="A76" s="2" t="s">
        <v>37</v>
      </c>
      <c r="B76" s="2" t="s">
        <v>414</v>
      </c>
      <c r="C76" s="19" t="s">
        <v>415</v>
      </c>
      <c r="D76" s="2" t="s">
        <v>416</v>
      </c>
    </row>
    <row r="77">
      <c r="A77" s="2" t="s">
        <v>35</v>
      </c>
      <c r="B77" s="2" t="s">
        <v>417</v>
      </c>
      <c r="C77" s="19" t="s">
        <v>418</v>
      </c>
      <c r="D77" s="2" t="s">
        <v>419</v>
      </c>
    </row>
    <row r="78">
      <c r="A78" s="2" t="s">
        <v>44</v>
      </c>
      <c r="B78" s="2" t="s">
        <v>420</v>
      </c>
      <c r="C78" s="19" t="s">
        <v>421</v>
      </c>
      <c r="D78" s="2" t="s">
        <v>422</v>
      </c>
    </row>
    <row r="79">
      <c r="A79" s="2" t="s">
        <v>91</v>
      </c>
      <c r="B79" s="2" t="s">
        <v>423</v>
      </c>
      <c r="C79" s="19" t="s">
        <v>424</v>
      </c>
      <c r="D79" s="2" t="s">
        <v>425</v>
      </c>
    </row>
    <row r="80">
      <c r="A80" s="2" t="s">
        <v>50</v>
      </c>
      <c r="B80" s="2" t="s">
        <v>426</v>
      </c>
      <c r="C80" s="19" t="s">
        <v>427</v>
      </c>
      <c r="D80" s="2" t="s">
        <v>428</v>
      </c>
    </row>
    <row r="81">
      <c r="A81" s="2" t="s">
        <v>429</v>
      </c>
      <c r="B81" s="2" t="s">
        <v>430</v>
      </c>
      <c r="C81" s="19" t="s">
        <v>431</v>
      </c>
      <c r="D81" s="2" t="s">
        <v>432</v>
      </c>
    </row>
    <row r="82">
      <c r="A82" s="2" t="s">
        <v>84</v>
      </c>
      <c r="B82" s="2" t="s">
        <v>433</v>
      </c>
      <c r="C82" s="19" t="s">
        <v>434</v>
      </c>
      <c r="D82" s="2" t="s">
        <v>435</v>
      </c>
    </row>
    <row r="83">
      <c r="A83" s="2" t="s">
        <v>136</v>
      </c>
      <c r="B83" s="2" t="s">
        <v>436</v>
      </c>
      <c r="C83" s="19" t="s">
        <v>437</v>
      </c>
      <c r="D83" s="2" t="s">
        <v>438</v>
      </c>
    </row>
    <row r="84">
      <c r="A84" s="2" t="s">
        <v>130</v>
      </c>
      <c r="B84" s="2" t="s">
        <v>439</v>
      </c>
      <c r="C84" s="19" t="s">
        <v>440</v>
      </c>
      <c r="D84" s="2" t="s">
        <v>441</v>
      </c>
    </row>
    <row r="85">
      <c r="A85" s="2" t="s">
        <v>112</v>
      </c>
      <c r="B85" s="2" t="s">
        <v>442</v>
      </c>
      <c r="C85" s="19" t="s">
        <v>443</v>
      </c>
      <c r="D85" s="2" t="s">
        <v>444</v>
      </c>
    </row>
    <row r="86">
      <c r="A86" s="2" t="s">
        <v>97</v>
      </c>
      <c r="B86" s="2" t="s">
        <v>445</v>
      </c>
      <c r="C86" s="19" t="s">
        <v>446</v>
      </c>
      <c r="D86" s="2" t="s">
        <v>447</v>
      </c>
    </row>
    <row r="87">
      <c r="A87" s="2" t="s">
        <v>53</v>
      </c>
      <c r="B87" s="2" t="s">
        <v>448</v>
      </c>
      <c r="C87" s="19" t="s">
        <v>449</v>
      </c>
      <c r="D87" s="2" t="s">
        <v>450</v>
      </c>
    </row>
    <row r="88">
      <c r="A88" s="2" t="s">
        <v>451</v>
      </c>
      <c r="B88" s="2" t="s">
        <v>452</v>
      </c>
      <c r="C88" s="19" t="s">
        <v>453</v>
      </c>
      <c r="D88" s="2" t="s">
        <v>454</v>
      </c>
    </row>
    <row r="89">
      <c r="A89" s="2" t="s">
        <v>82</v>
      </c>
      <c r="B89" s="2" t="s">
        <v>455</v>
      </c>
      <c r="C89" s="19" t="s">
        <v>456</v>
      </c>
      <c r="D89" s="2" t="s">
        <v>457</v>
      </c>
    </row>
    <row r="90">
      <c r="A90" s="2" t="s">
        <v>131</v>
      </c>
      <c r="B90" s="2" t="s">
        <v>458</v>
      </c>
      <c r="C90" s="19" t="s">
        <v>459</v>
      </c>
      <c r="D90" s="2" t="s">
        <v>460</v>
      </c>
    </row>
    <row r="91">
      <c r="A91" s="2" t="s">
        <v>119</v>
      </c>
      <c r="B91" s="2" t="s">
        <v>461</v>
      </c>
      <c r="C91" s="19" t="s">
        <v>462</v>
      </c>
      <c r="D91" s="2" t="s">
        <v>463</v>
      </c>
    </row>
    <row r="92">
      <c r="A92" s="2" t="s">
        <v>33</v>
      </c>
      <c r="B92" s="2" t="s">
        <v>464</v>
      </c>
      <c r="C92" s="19" t="s">
        <v>465</v>
      </c>
      <c r="D92" s="2" t="s">
        <v>466</v>
      </c>
    </row>
    <row r="93">
      <c r="A93" s="2" t="s">
        <v>124</v>
      </c>
      <c r="B93" s="2" t="s">
        <v>467</v>
      </c>
      <c r="C93" s="19" t="s">
        <v>468</v>
      </c>
      <c r="D93" s="2" t="s">
        <v>469</v>
      </c>
    </row>
    <row r="94">
      <c r="A94" s="2" t="s">
        <v>470</v>
      </c>
      <c r="B94" s="2" t="s">
        <v>471</v>
      </c>
      <c r="C94" s="19" t="s">
        <v>472</v>
      </c>
      <c r="D94" s="2" t="s">
        <v>473</v>
      </c>
    </row>
    <row r="95">
      <c r="A95" s="2" t="s">
        <v>38</v>
      </c>
      <c r="B95" s="2" t="s">
        <v>474</v>
      </c>
      <c r="C95" s="19" t="s">
        <v>475</v>
      </c>
      <c r="D95" s="2" t="s">
        <v>476</v>
      </c>
    </row>
    <row r="96">
      <c r="A96" s="2" t="s">
        <v>65</v>
      </c>
      <c r="B96" s="2" t="s">
        <v>477</v>
      </c>
      <c r="C96" s="19" t="s">
        <v>478</v>
      </c>
      <c r="D96" s="2" t="s">
        <v>479</v>
      </c>
    </row>
    <row r="97">
      <c r="A97" s="2" t="s">
        <v>43</v>
      </c>
      <c r="B97" s="2" t="s">
        <v>480</v>
      </c>
      <c r="C97" s="19" t="s">
        <v>481</v>
      </c>
      <c r="D97" s="2" t="s">
        <v>482</v>
      </c>
    </row>
    <row r="98">
      <c r="A98" s="2" t="s">
        <v>93</v>
      </c>
      <c r="B98" s="2" t="s">
        <v>483</v>
      </c>
      <c r="C98" s="19" t="s">
        <v>484</v>
      </c>
      <c r="D98" s="2" t="s">
        <v>485</v>
      </c>
    </row>
    <row r="99">
      <c r="A99" s="2" t="s">
        <v>103</v>
      </c>
      <c r="B99" s="2" t="s">
        <v>486</v>
      </c>
      <c r="C99" s="19" t="s">
        <v>487</v>
      </c>
      <c r="D99" s="2" t="s">
        <v>488</v>
      </c>
    </row>
    <row r="100">
      <c r="A100" s="2" t="s">
        <v>31</v>
      </c>
      <c r="B100" s="2" t="s">
        <v>489</v>
      </c>
      <c r="C100" s="19" t="s">
        <v>490</v>
      </c>
      <c r="D100" s="2" t="s">
        <v>491</v>
      </c>
    </row>
    <row r="101">
      <c r="A101" s="2" t="s">
        <v>492</v>
      </c>
      <c r="B101" s="2" t="s">
        <v>493</v>
      </c>
      <c r="C101" s="19" t="s">
        <v>494</v>
      </c>
      <c r="D101" s="2" t="s">
        <v>495</v>
      </c>
    </row>
    <row r="102">
      <c r="A102" s="2" t="s">
        <v>73</v>
      </c>
      <c r="B102" s="2" t="s">
        <v>496</v>
      </c>
      <c r="C102" s="19" t="s">
        <v>497</v>
      </c>
      <c r="D102" s="2" t="s">
        <v>498</v>
      </c>
    </row>
    <row r="103">
      <c r="A103" s="2" t="s">
        <v>42</v>
      </c>
      <c r="B103" s="2" t="s">
        <v>499</v>
      </c>
      <c r="C103" s="19" t="s">
        <v>500</v>
      </c>
      <c r="D103" s="2" t="s">
        <v>501</v>
      </c>
    </row>
    <row r="104">
      <c r="A104" s="2" t="s">
        <v>99</v>
      </c>
      <c r="B104" s="2" t="s">
        <v>502</v>
      </c>
      <c r="C104" s="19" t="s">
        <v>503</v>
      </c>
      <c r="D104" s="2" t="s">
        <v>504</v>
      </c>
    </row>
    <row r="105">
      <c r="A105" s="2" t="s">
        <v>109</v>
      </c>
      <c r="B105" s="2" t="s">
        <v>505</v>
      </c>
      <c r="C105" s="19" t="s">
        <v>506</v>
      </c>
      <c r="D105" s="2" t="s">
        <v>507</v>
      </c>
    </row>
    <row r="106">
      <c r="A106" s="2" t="s">
        <v>30</v>
      </c>
      <c r="B106" s="2" t="s">
        <v>508</v>
      </c>
      <c r="C106" s="19" t="s">
        <v>509</v>
      </c>
      <c r="D106" s="2" t="s">
        <v>510</v>
      </c>
    </row>
    <row r="107">
      <c r="A107" s="2" t="s">
        <v>66</v>
      </c>
      <c r="B107" s="2" t="s">
        <v>511</v>
      </c>
      <c r="C107" s="19" t="s">
        <v>512</v>
      </c>
      <c r="D107" s="2" t="s">
        <v>513</v>
      </c>
    </row>
    <row r="108">
      <c r="A108" s="2" t="s">
        <v>68</v>
      </c>
      <c r="B108" s="2" t="s">
        <v>514</v>
      </c>
      <c r="C108" s="19" t="s">
        <v>515</v>
      </c>
      <c r="D108" s="2" t="s">
        <v>516</v>
      </c>
    </row>
    <row r="109">
      <c r="A109" s="2" t="s">
        <v>74</v>
      </c>
      <c r="B109" s="2" t="s">
        <v>517</v>
      </c>
      <c r="C109" s="19" t="s">
        <v>518</v>
      </c>
      <c r="D109" s="2" t="s">
        <v>519</v>
      </c>
    </row>
    <row r="110">
      <c r="A110" s="2" t="s">
        <v>123</v>
      </c>
      <c r="B110" s="2" t="s">
        <v>520</v>
      </c>
      <c r="C110" s="19" t="s">
        <v>521</v>
      </c>
      <c r="D110" s="2" t="s">
        <v>522</v>
      </c>
    </row>
    <row r="111">
      <c r="A111" s="2" t="s">
        <v>90</v>
      </c>
      <c r="B111" s="2" t="s">
        <v>523</v>
      </c>
      <c r="C111" s="19" t="s">
        <v>524</v>
      </c>
      <c r="D111" s="2" t="s">
        <v>525</v>
      </c>
    </row>
    <row r="112">
      <c r="A112" s="2" t="s">
        <v>40</v>
      </c>
      <c r="B112" s="2" t="s">
        <v>526</v>
      </c>
      <c r="C112" s="19" t="s">
        <v>527</v>
      </c>
      <c r="D112" s="2" t="s">
        <v>528</v>
      </c>
    </row>
    <row r="113">
      <c r="A113" s="2" t="s">
        <v>52</v>
      </c>
      <c r="B113" s="2" t="s">
        <v>529</v>
      </c>
      <c r="C113" s="19" t="s">
        <v>530</v>
      </c>
      <c r="D113" s="2" t="s">
        <v>531</v>
      </c>
    </row>
    <row r="114">
      <c r="A114" s="2" t="s">
        <v>107</v>
      </c>
      <c r="B114" s="2" t="s">
        <v>532</v>
      </c>
      <c r="C114" s="19" t="s">
        <v>533</v>
      </c>
      <c r="D114" s="2" t="s">
        <v>534</v>
      </c>
    </row>
    <row r="115">
      <c r="A115" s="2" t="s">
        <v>105</v>
      </c>
      <c r="B115" s="2" t="s">
        <v>535</v>
      </c>
      <c r="C115" s="19" t="s">
        <v>536</v>
      </c>
      <c r="D115" s="2" t="s">
        <v>537</v>
      </c>
    </row>
    <row r="116">
      <c r="A116" s="2" t="s">
        <v>47</v>
      </c>
      <c r="B116" s="2" t="s">
        <v>538</v>
      </c>
      <c r="C116" s="19" t="s">
        <v>539</v>
      </c>
      <c r="D116" s="2" t="s">
        <v>540</v>
      </c>
    </row>
    <row r="117">
      <c r="A117" s="2" t="s">
        <v>541</v>
      </c>
      <c r="B117" s="2" t="s">
        <v>542</v>
      </c>
      <c r="C117" s="19" t="s">
        <v>543</v>
      </c>
      <c r="D117" s="2" t="s">
        <v>544</v>
      </c>
    </row>
    <row r="118">
      <c r="A118" s="2" t="s">
        <v>98</v>
      </c>
      <c r="B118" s="2" t="s">
        <v>545</v>
      </c>
      <c r="C118" s="19" t="s">
        <v>546</v>
      </c>
      <c r="D118" s="2" t="s">
        <v>547</v>
      </c>
    </row>
    <row r="119">
      <c r="A119" s="2" t="s">
        <v>548</v>
      </c>
      <c r="B119" s="2" t="s">
        <v>549</v>
      </c>
      <c r="C119" s="19" t="s">
        <v>550</v>
      </c>
      <c r="D119" s="2" t="s">
        <v>551</v>
      </c>
    </row>
    <row r="120">
      <c r="A120" s="2" t="s">
        <v>92</v>
      </c>
      <c r="B120" s="2" t="s">
        <v>552</v>
      </c>
      <c r="C120" s="19" t="s">
        <v>553</v>
      </c>
      <c r="D120" s="2" t="s">
        <v>554</v>
      </c>
    </row>
    <row r="121">
      <c r="A121" s="2" t="s">
        <v>62</v>
      </c>
      <c r="B121" s="2" t="s">
        <v>555</v>
      </c>
      <c r="C121" s="19" t="s">
        <v>556</v>
      </c>
      <c r="D121" s="2" t="s">
        <v>557</v>
      </c>
    </row>
    <row r="122">
      <c r="A122" s="2" t="s">
        <v>61</v>
      </c>
      <c r="B122" s="2" t="s">
        <v>558</v>
      </c>
      <c r="C122" s="19" t="s">
        <v>559</v>
      </c>
      <c r="D122" s="2" t="s">
        <v>560</v>
      </c>
    </row>
    <row r="123">
      <c r="A123" s="2" t="s">
        <v>101</v>
      </c>
      <c r="B123" s="2" t="s">
        <v>561</v>
      </c>
      <c r="C123" s="19" t="s">
        <v>562</v>
      </c>
      <c r="D123" s="2" t="s">
        <v>563</v>
      </c>
    </row>
    <row r="124">
      <c r="A124" s="2" t="s">
        <v>564</v>
      </c>
      <c r="B124" s="2" t="s">
        <v>565</v>
      </c>
      <c r="C124" s="19" t="s">
        <v>566</v>
      </c>
      <c r="D124" s="2" t="s">
        <v>567</v>
      </c>
    </row>
    <row r="125">
      <c r="A125" s="2" t="s">
        <v>106</v>
      </c>
      <c r="B125" s="2" t="s">
        <v>568</v>
      </c>
      <c r="C125" s="19" t="s">
        <v>569</v>
      </c>
      <c r="D125" s="2" t="s">
        <v>570</v>
      </c>
    </row>
    <row r="126">
      <c r="A126" s="2" t="s">
        <v>89</v>
      </c>
      <c r="B126" s="2" t="s">
        <v>571</v>
      </c>
      <c r="C126" s="19" t="s">
        <v>572</v>
      </c>
      <c r="D126" s="2" t="s">
        <v>573</v>
      </c>
    </row>
    <row r="127">
      <c r="A127" s="2" t="s">
        <v>75</v>
      </c>
      <c r="B127" s="2" t="s">
        <v>574</v>
      </c>
      <c r="C127" s="19" t="s">
        <v>575</v>
      </c>
      <c r="D127" s="2" t="s">
        <v>576</v>
      </c>
    </row>
    <row r="128">
      <c r="A128" s="2" t="s">
        <v>114</v>
      </c>
      <c r="B128" s="2" t="s">
        <v>577</v>
      </c>
      <c r="C128" s="19" t="s">
        <v>578</v>
      </c>
      <c r="D128" s="2" t="s">
        <v>579</v>
      </c>
    </row>
    <row r="129">
      <c r="A129" s="2" t="s">
        <v>59</v>
      </c>
      <c r="B129" s="2" t="s">
        <v>580</v>
      </c>
      <c r="C129" s="19" t="s">
        <v>581</v>
      </c>
      <c r="D129" s="2" t="s">
        <v>582</v>
      </c>
    </row>
    <row r="130">
      <c r="A130" s="2" t="s">
        <v>125</v>
      </c>
      <c r="B130" s="2" t="s">
        <v>583</v>
      </c>
      <c r="C130" s="19" t="s">
        <v>584</v>
      </c>
      <c r="D130" s="2" t="s">
        <v>585</v>
      </c>
    </row>
    <row r="131">
      <c r="A131" s="2" t="s">
        <v>51</v>
      </c>
      <c r="B131" s="2" t="s">
        <v>586</v>
      </c>
      <c r="C131" s="19" t="s">
        <v>587</v>
      </c>
      <c r="D131" s="2" t="s">
        <v>588</v>
      </c>
    </row>
    <row r="132">
      <c r="A132" s="2" t="s">
        <v>72</v>
      </c>
      <c r="B132" s="2" t="s">
        <v>589</v>
      </c>
      <c r="C132" s="19" t="s">
        <v>590</v>
      </c>
      <c r="D132" s="2" t="s">
        <v>591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</hyperlinks>
  <drawing r:id="rId13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592</v>
      </c>
    </row>
    <row r="2">
      <c r="A2" s="1" t="s">
        <v>593</v>
      </c>
      <c r="B2" s="1">
        <v>48.5</v>
      </c>
    </row>
    <row r="3">
      <c r="A3" s="1" t="s">
        <v>594</v>
      </c>
      <c r="B3" s="1">
        <v>87.15</v>
      </c>
    </row>
    <row r="4">
      <c r="A4" s="1" t="s">
        <v>595</v>
      </c>
      <c r="B4" s="1">
        <v>44.0</v>
      </c>
    </row>
    <row r="5">
      <c r="A5" s="1" t="s">
        <v>596</v>
      </c>
      <c r="B5" s="1">
        <v>52.03</v>
      </c>
    </row>
    <row r="6">
      <c r="A6" s="1" t="s">
        <v>597</v>
      </c>
      <c r="B6" s="1">
        <v>48.0</v>
      </c>
    </row>
    <row r="7">
      <c r="A7" s="1" t="s">
        <v>598</v>
      </c>
      <c r="B7" s="1">
        <v>80.65</v>
      </c>
    </row>
    <row r="8">
      <c r="A8" s="1" t="s">
        <v>599</v>
      </c>
      <c r="B8" s="1">
        <v>48.56</v>
      </c>
    </row>
    <row r="9">
      <c r="A9" s="1" t="s">
        <v>600</v>
      </c>
      <c r="B9" s="1">
        <v>55.4</v>
      </c>
    </row>
    <row r="10">
      <c r="A10" s="1" t="s">
        <v>601</v>
      </c>
      <c r="B10" s="1">
        <v>19.0</v>
      </c>
    </row>
    <row r="11">
      <c r="A11" s="1" t="s">
        <v>602</v>
      </c>
      <c r="B11" s="1">
        <v>78.66</v>
      </c>
    </row>
    <row r="12">
      <c r="A12" s="1" t="s">
        <v>603</v>
      </c>
      <c r="B12" s="1">
        <v>54.0</v>
      </c>
    </row>
    <row r="13">
      <c r="A13" s="1" t="s">
        <v>604</v>
      </c>
      <c r="B13" s="1">
        <v>32.25</v>
      </c>
    </row>
    <row r="14">
      <c r="A14" s="1" t="s">
        <v>605</v>
      </c>
      <c r="B14" s="1">
        <v>53.44</v>
      </c>
    </row>
    <row r="15">
      <c r="A15" s="1" t="s">
        <v>606</v>
      </c>
      <c r="B15" s="1">
        <v>86.44</v>
      </c>
    </row>
    <row r="16">
      <c r="A16" s="1" t="s">
        <v>607</v>
      </c>
      <c r="B16" s="1">
        <v>68.25</v>
      </c>
    </row>
    <row r="17">
      <c r="A17" s="1" t="s">
        <v>608</v>
      </c>
      <c r="B17" s="1">
        <v>64.75</v>
      </c>
    </row>
    <row r="18">
      <c r="A18" s="1" t="s">
        <v>609</v>
      </c>
      <c r="B18" s="1">
        <v>28.5</v>
      </c>
    </row>
    <row r="19">
      <c r="A19" s="1" t="s">
        <v>610</v>
      </c>
      <c r="B19" s="1">
        <v>66.34</v>
      </c>
    </row>
    <row r="20">
      <c r="A20" s="1" t="s">
        <v>611</v>
      </c>
      <c r="B20" s="1">
        <v>71.44</v>
      </c>
    </row>
    <row r="21">
      <c r="A21" s="1" t="s">
        <v>612</v>
      </c>
      <c r="B21" s="1">
        <v>53.31</v>
      </c>
    </row>
    <row r="22">
      <c r="A22" s="1" t="s">
        <v>613</v>
      </c>
      <c r="B22" s="1">
        <v>52.31</v>
      </c>
    </row>
    <row r="23">
      <c r="A23" s="1" t="s">
        <v>614</v>
      </c>
      <c r="B23" s="1">
        <v>44.25</v>
      </c>
    </row>
    <row r="24">
      <c r="A24" s="1" t="s">
        <v>615</v>
      </c>
      <c r="B24" s="1">
        <v>47.25</v>
      </c>
    </row>
    <row r="25">
      <c r="A25" s="1" t="s">
        <v>616</v>
      </c>
      <c r="B25" s="1">
        <v>28.81</v>
      </c>
    </row>
    <row r="26">
      <c r="A26" s="1" t="s">
        <v>617</v>
      </c>
      <c r="B26" s="1">
        <v>44.5</v>
      </c>
    </row>
    <row r="27">
      <c r="A27" s="1" t="s">
        <v>618</v>
      </c>
      <c r="B27" s="1">
        <v>65.72</v>
      </c>
    </row>
    <row r="28">
      <c r="A28" s="1" t="s">
        <v>619</v>
      </c>
      <c r="B28" s="1">
        <v>77.29</v>
      </c>
    </row>
    <row r="29">
      <c r="A29" s="1" t="s">
        <v>620</v>
      </c>
      <c r="B29" s="1">
        <v>65.97</v>
      </c>
    </row>
    <row r="30">
      <c r="A30" s="1" t="s">
        <v>621</v>
      </c>
      <c r="B30" s="1">
        <v>67.0</v>
      </c>
    </row>
    <row r="31">
      <c r="A31" s="1" t="s">
        <v>622</v>
      </c>
      <c r="B31" s="1">
        <v>49.5</v>
      </c>
    </row>
    <row r="32">
      <c r="A32" s="1" t="s">
        <v>623</v>
      </c>
      <c r="B32" s="1">
        <v>30.06</v>
      </c>
    </row>
    <row r="33">
      <c r="A33" s="1" t="s">
        <v>624</v>
      </c>
      <c r="B33" s="1">
        <v>68.5</v>
      </c>
    </row>
    <row r="34">
      <c r="A34" s="1" t="s">
        <v>625</v>
      </c>
      <c r="B34" s="1">
        <v>77.66</v>
      </c>
    </row>
    <row r="35">
      <c r="A35" s="1" t="s">
        <v>626</v>
      </c>
      <c r="B35" s="1">
        <v>33.0</v>
      </c>
    </row>
    <row r="36">
      <c r="A36" s="1" t="s">
        <v>627</v>
      </c>
      <c r="B36" s="1">
        <v>71.93</v>
      </c>
    </row>
    <row r="37">
      <c r="A37" s="1" t="s">
        <v>628</v>
      </c>
      <c r="B37" s="1">
        <v>83.44</v>
      </c>
    </row>
    <row r="38">
      <c r="A38" s="1" t="s">
        <v>629</v>
      </c>
      <c r="B38" s="1">
        <v>40.5</v>
      </c>
    </row>
    <row r="39">
      <c r="A39" s="1" t="s">
        <v>630</v>
      </c>
      <c r="B39" s="1">
        <v>0.0</v>
      </c>
    </row>
    <row r="40">
      <c r="A40" s="1" t="s">
        <v>631</v>
      </c>
      <c r="B40" s="1">
        <v>62.16</v>
      </c>
    </row>
    <row r="41">
      <c r="A41" s="1" t="s">
        <v>632</v>
      </c>
      <c r="B41" s="1">
        <v>56.0</v>
      </c>
    </row>
    <row r="42">
      <c r="A42" s="1" t="s">
        <v>633</v>
      </c>
      <c r="B42" s="1">
        <v>44.15</v>
      </c>
    </row>
    <row r="43">
      <c r="A43" s="1" t="s">
        <v>634</v>
      </c>
      <c r="B43" s="1">
        <v>82.21</v>
      </c>
    </row>
    <row r="44">
      <c r="A44" s="1" t="s">
        <v>635</v>
      </c>
      <c r="B44" s="1">
        <v>73.05</v>
      </c>
    </row>
    <row r="45">
      <c r="A45" s="1" t="s">
        <v>636</v>
      </c>
      <c r="B45" s="1">
        <v>91.68</v>
      </c>
    </row>
    <row r="46">
      <c r="A46" s="1" t="s">
        <v>637</v>
      </c>
      <c r="B46" s="1">
        <v>55.71</v>
      </c>
    </row>
    <row r="47">
      <c r="A47" s="1" t="s">
        <v>638</v>
      </c>
      <c r="B47" s="1">
        <v>59.38</v>
      </c>
    </row>
    <row r="48">
      <c r="A48" s="1" t="s">
        <v>639</v>
      </c>
      <c r="B48" s="1">
        <v>76.41</v>
      </c>
    </row>
    <row r="49">
      <c r="A49" s="1" t="s">
        <v>640</v>
      </c>
      <c r="B49" s="1">
        <v>59.05</v>
      </c>
    </row>
    <row r="50">
      <c r="A50" s="1" t="s">
        <v>122</v>
      </c>
      <c r="B50" s="1">
        <v>88.53</v>
      </c>
    </row>
    <row r="51">
      <c r="A51" s="1" t="s">
        <v>641</v>
      </c>
      <c r="B51" s="1">
        <v>60.05</v>
      </c>
    </row>
    <row r="52">
      <c r="A52" s="1" t="s">
        <v>642</v>
      </c>
      <c r="B52" s="1">
        <v>48.0</v>
      </c>
    </row>
    <row r="53">
      <c r="A53" s="1" t="s">
        <v>643</v>
      </c>
      <c r="B53" s="1">
        <v>90.66</v>
      </c>
    </row>
    <row r="54">
      <c r="A54" s="1" t="s">
        <v>644</v>
      </c>
      <c r="B54" s="1">
        <v>80.03</v>
      </c>
    </row>
    <row r="55">
      <c r="A55" s="1" t="s">
        <v>645</v>
      </c>
      <c r="B55" s="1">
        <v>58.07</v>
      </c>
    </row>
    <row r="56">
      <c r="A56" s="1" t="s">
        <v>646</v>
      </c>
      <c r="B56" s="1">
        <v>39.94</v>
      </c>
    </row>
    <row r="57">
      <c r="A57" s="1" t="s">
        <v>647</v>
      </c>
      <c r="B57" s="1">
        <v>82.19</v>
      </c>
    </row>
    <row r="58">
      <c r="A58" s="1" t="s">
        <v>648</v>
      </c>
      <c r="B58" s="1">
        <v>89.25</v>
      </c>
    </row>
    <row r="59">
      <c r="A59" s="1" t="s">
        <v>649</v>
      </c>
      <c r="B59" s="1">
        <v>62.7</v>
      </c>
    </row>
    <row r="60">
      <c r="A60" s="1" t="s">
        <v>650</v>
      </c>
      <c r="B60" s="1">
        <v>36.25</v>
      </c>
    </row>
    <row r="61">
      <c r="A61" s="1" t="s">
        <v>651</v>
      </c>
      <c r="B61" s="1">
        <v>44.25</v>
      </c>
    </row>
    <row r="62">
      <c r="A62" s="1" t="s">
        <v>652</v>
      </c>
      <c r="B62" s="1">
        <v>52.16</v>
      </c>
    </row>
    <row r="63">
      <c r="A63" s="1" t="s">
        <v>653</v>
      </c>
      <c r="B63" s="1">
        <v>51.15</v>
      </c>
    </row>
    <row r="64">
      <c r="A64" s="1" t="s">
        <v>654</v>
      </c>
      <c r="B64" s="1">
        <v>94.41</v>
      </c>
    </row>
    <row r="65">
      <c r="A65" s="1" t="s">
        <v>655</v>
      </c>
      <c r="B65" s="1">
        <v>59.25</v>
      </c>
    </row>
    <row r="66">
      <c r="A66" s="1" t="s">
        <v>656</v>
      </c>
      <c r="B66" s="1">
        <v>45.25</v>
      </c>
    </row>
    <row r="67">
      <c r="A67" s="1" t="s">
        <v>657</v>
      </c>
      <c r="B67" s="1">
        <v>61.06</v>
      </c>
    </row>
    <row r="68">
      <c r="A68" s="1" t="s">
        <v>658</v>
      </c>
      <c r="B68" s="1">
        <v>46.5</v>
      </c>
    </row>
    <row r="69">
      <c r="A69" s="1" t="s">
        <v>659</v>
      </c>
      <c r="B69" s="1">
        <v>75.67</v>
      </c>
    </row>
    <row r="70">
      <c r="A70" s="1" t="s">
        <v>660</v>
      </c>
      <c r="B70" s="1">
        <v>75.0</v>
      </c>
    </row>
    <row r="71">
      <c r="A71" s="1" t="s">
        <v>661</v>
      </c>
      <c r="B71" s="1">
        <v>86.84</v>
      </c>
    </row>
    <row r="72">
      <c r="A72" s="1" t="s">
        <v>662</v>
      </c>
      <c r="B72" s="1">
        <v>65.71</v>
      </c>
    </row>
    <row r="73">
      <c r="A73" s="1" t="s">
        <v>663</v>
      </c>
      <c r="B73" s="1">
        <v>94.41</v>
      </c>
    </row>
    <row r="74">
      <c r="A74" s="1" t="s">
        <v>664</v>
      </c>
      <c r="B74" s="1">
        <v>61.31</v>
      </c>
    </row>
    <row r="75">
      <c r="A75" s="1" t="s">
        <v>665</v>
      </c>
      <c r="B75" s="1">
        <v>79.5</v>
      </c>
    </row>
    <row r="76">
      <c r="A76" s="1" t="s">
        <v>666</v>
      </c>
      <c r="B76" s="1">
        <v>79.25</v>
      </c>
    </row>
    <row r="77">
      <c r="A77" s="1" t="s">
        <v>667</v>
      </c>
      <c r="B77" s="1">
        <v>67.18</v>
      </c>
    </row>
    <row r="78">
      <c r="A78" s="1" t="s">
        <v>668</v>
      </c>
      <c r="B78" s="1">
        <v>59.55</v>
      </c>
    </row>
    <row r="79">
      <c r="A79" s="1" t="s">
        <v>669</v>
      </c>
      <c r="B79" s="1">
        <v>33.53</v>
      </c>
    </row>
    <row r="80">
      <c r="A80" s="1" t="s">
        <v>670</v>
      </c>
      <c r="B80" s="1">
        <v>26.78</v>
      </c>
    </row>
    <row r="81">
      <c r="A81" s="1" t="s">
        <v>671</v>
      </c>
      <c r="B81" s="1">
        <v>84.98</v>
      </c>
    </row>
    <row r="82">
      <c r="A82" s="1" t="s">
        <v>672</v>
      </c>
      <c r="B82" s="1">
        <v>84.91</v>
      </c>
    </row>
    <row r="83">
      <c r="A83" s="1" t="s">
        <v>673</v>
      </c>
      <c r="B83" s="1">
        <v>95.25</v>
      </c>
    </row>
    <row r="84">
      <c r="A84" s="1" t="s">
        <v>674</v>
      </c>
      <c r="B84" s="1">
        <v>75.89</v>
      </c>
    </row>
    <row r="85">
      <c r="A85" s="1" t="s">
        <v>675</v>
      </c>
      <c r="B85" s="1">
        <v>64.44</v>
      </c>
    </row>
    <row r="86">
      <c r="A86" s="1" t="s">
        <v>676</v>
      </c>
      <c r="B86" s="1">
        <v>47.19</v>
      </c>
    </row>
    <row r="87">
      <c r="A87" s="1" t="s">
        <v>677</v>
      </c>
      <c r="B87" s="1">
        <v>30.0</v>
      </c>
    </row>
    <row r="88">
      <c r="A88" s="1" t="s">
        <v>678</v>
      </c>
      <c r="B88" s="1">
        <v>42.47</v>
      </c>
    </row>
    <row r="89">
      <c r="A89" s="1" t="s">
        <v>679</v>
      </c>
      <c r="B89" s="1">
        <v>46.25</v>
      </c>
    </row>
    <row r="90">
      <c r="A90" s="1" t="s">
        <v>680</v>
      </c>
      <c r="B90" s="1">
        <v>52.19</v>
      </c>
    </row>
    <row r="91">
      <c r="A91" s="1" t="s">
        <v>681</v>
      </c>
      <c r="B91" s="1">
        <v>58.25</v>
      </c>
    </row>
    <row r="92">
      <c r="A92" s="1" t="s">
        <v>682</v>
      </c>
      <c r="B92" s="1">
        <v>36.16</v>
      </c>
    </row>
    <row r="93">
      <c r="A93" s="1" t="s">
        <v>683</v>
      </c>
      <c r="B93" s="1">
        <v>18.75</v>
      </c>
    </row>
    <row r="94">
      <c r="A94" s="1" t="s">
        <v>684</v>
      </c>
      <c r="B94" s="1">
        <v>51.94</v>
      </c>
    </row>
    <row r="95">
      <c r="A95" s="1" t="s">
        <v>685</v>
      </c>
      <c r="B95" s="1">
        <v>82.51</v>
      </c>
    </row>
    <row r="96">
      <c r="A96" s="1" t="s">
        <v>686</v>
      </c>
      <c r="B96" s="1">
        <v>79.41</v>
      </c>
    </row>
    <row r="97">
      <c r="A97" s="1" t="s">
        <v>687</v>
      </c>
      <c r="B97" s="1">
        <v>86.25</v>
      </c>
    </row>
    <row r="98">
      <c r="A98" s="1" t="s">
        <v>688</v>
      </c>
      <c r="B98" s="1">
        <v>56.69</v>
      </c>
    </row>
    <row r="99">
      <c r="A99" s="1" t="s">
        <v>689</v>
      </c>
      <c r="B99" s="1">
        <v>47.42</v>
      </c>
    </row>
    <row r="100">
      <c r="A100" s="1" t="s">
        <v>29</v>
      </c>
      <c r="B100" s="1">
        <v>48.0</v>
      </c>
    </row>
    <row r="101">
      <c r="A101" s="1" t="s">
        <v>690</v>
      </c>
      <c r="B101" s="1">
        <v>76.99</v>
      </c>
    </row>
    <row r="102">
      <c r="A102" s="1" t="s">
        <v>691</v>
      </c>
      <c r="B102" s="1">
        <v>64.53</v>
      </c>
    </row>
    <row r="103">
      <c r="A103" s="1" t="s">
        <v>692</v>
      </c>
      <c r="B103" s="1">
        <v>52.44</v>
      </c>
    </row>
    <row r="104">
      <c r="A104" s="1" t="s">
        <v>693</v>
      </c>
      <c r="B104" s="1">
        <v>67.75</v>
      </c>
    </row>
    <row r="105">
      <c r="A105" s="1" t="s">
        <v>694</v>
      </c>
      <c r="B105" s="1">
        <v>78.7</v>
      </c>
    </row>
    <row r="106">
      <c r="A106" s="1" t="s">
        <v>695</v>
      </c>
      <c r="B106" s="1">
        <v>48.65</v>
      </c>
    </row>
    <row r="107">
      <c r="A107" s="1" t="s">
        <v>696</v>
      </c>
      <c r="B107" s="1">
        <v>55.44</v>
      </c>
    </row>
    <row r="108">
      <c r="A108" s="1" t="s">
        <v>697</v>
      </c>
      <c r="B108" s="1">
        <v>48.65</v>
      </c>
    </row>
    <row r="109">
      <c r="A109" s="1" t="s">
        <v>698</v>
      </c>
      <c r="B109" s="1">
        <v>43.5</v>
      </c>
    </row>
    <row r="110">
      <c r="A110" s="1" t="s">
        <v>699</v>
      </c>
      <c r="B110" s="1">
        <v>59.46</v>
      </c>
    </row>
    <row r="111">
      <c r="A111" s="1" t="s">
        <v>700</v>
      </c>
      <c r="B111" s="1">
        <v>80.0</v>
      </c>
    </row>
    <row r="112">
      <c r="A112" s="1" t="s">
        <v>75</v>
      </c>
      <c r="B112" s="1">
        <v>0.0</v>
      </c>
    </row>
    <row r="113">
      <c r="A113" s="1" t="s">
        <v>701</v>
      </c>
      <c r="B113" s="1">
        <v>79.94</v>
      </c>
    </row>
    <row r="114">
      <c r="A114" s="1" t="s">
        <v>702</v>
      </c>
      <c r="B114" s="1">
        <v>83.23</v>
      </c>
    </row>
    <row r="115">
      <c r="A115" s="1" t="s">
        <v>703</v>
      </c>
      <c r="B115" s="1">
        <v>25.5</v>
      </c>
    </row>
    <row r="116">
      <c r="A116" s="1" t="s">
        <v>704</v>
      </c>
      <c r="B116" s="1">
        <v>61.15</v>
      </c>
    </row>
    <row r="117">
      <c r="A117" s="1" t="s">
        <v>705</v>
      </c>
      <c r="B117" s="1">
        <v>63.0</v>
      </c>
    </row>
    <row r="118">
      <c r="A118" s="1" t="s">
        <v>706</v>
      </c>
      <c r="B118" s="1">
        <v>54.75</v>
      </c>
    </row>
    <row r="119">
      <c r="A119" s="1" t="s">
        <v>707</v>
      </c>
      <c r="B119" s="1">
        <v>72.21</v>
      </c>
    </row>
    <row r="120">
      <c r="A120" s="1" t="s">
        <v>708</v>
      </c>
      <c r="B120" s="1">
        <v>64.67</v>
      </c>
    </row>
    <row r="121">
      <c r="A121" s="1" t="s">
        <v>709</v>
      </c>
      <c r="B121" s="1">
        <v>94.0</v>
      </c>
    </row>
    <row r="122">
      <c r="A122" s="1" t="s">
        <v>710</v>
      </c>
      <c r="B122" s="1">
        <v>69.31</v>
      </c>
    </row>
    <row r="123">
      <c r="A123" s="1" t="s">
        <v>115</v>
      </c>
      <c r="B123" s="1">
        <v>40.5</v>
      </c>
    </row>
    <row r="124">
      <c r="A124" s="1" t="s">
        <v>125</v>
      </c>
      <c r="B124" s="1">
        <v>53.91</v>
      </c>
    </row>
    <row r="125">
      <c r="A125" s="1" t="s">
        <v>316</v>
      </c>
      <c r="B125" s="1">
        <v>31.5</v>
      </c>
    </row>
    <row r="126">
      <c r="A126" s="1" t="s">
        <v>711</v>
      </c>
      <c r="B126" s="1">
        <v>66.81</v>
      </c>
    </row>
    <row r="127">
      <c r="A127" s="1" t="s">
        <v>712</v>
      </c>
      <c r="B127" s="1">
        <v>57.0</v>
      </c>
    </row>
    <row r="128">
      <c r="A128" s="1" t="s">
        <v>713</v>
      </c>
      <c r="B128" s="1">
        <v>85.55</v>
      </c>
    </row>
    <row r="129">
      <c r="A129" s="1" t="s">
        <v>714</v>
      </c>
      <c r="B129" s="1">
        <v>35.0</v>
      </c>
    </row>
    <row r="130">
      <c r="A130" s="1" t="s">
        <v>715</v>
      </c>
      <c r="B130" s="1">
        <v>60.41</v>
      </c>
    </row>
    <row r="131">
      <c r="A131" s="1" t="s">
        <v>716</v>
      </c>
      <c r="B131" s="1">
        <v>84.29</v>
      </c>
    </row>
    <row r="132">
      <c r="A132" s="1" t="s">
        <v>717</v>
      </c>
      <c r="B132" s="1">
        <v>56.0</v>
      </c>
    </row>
    <row r="133">
      <c r="A133" s="1" t="s">
        <v>718</v>
      </c>
      <c r="B133" s="1">
        <v>33.91</v>
      </c>
    </row>
    <row r="134">
      <c r="A134" s="1" t="s">
        <v>719</v>
      </c>
      <c r="B134" s="1">
        <v>86.8</v>
      </c>
    </row>
    <row r="135">
      <c r="A135" s="1" t="s">
        <v>720</v>
      </c>
      <c r="B135" s="1">
        <v>78.0</v>
      </c>
    </row>
    <row r="136">
      <c r="A136" s="1" t="s">
        <v>721</v>
      </c>
      <c r="B136" s="1">
        <v>0.0</v>
      </c>
    </row>
    <row r="137">
      <c r="A137" s="1" t="s">
        <v>722</v>
      </c>
      <c r="B137" s="1">
        <v>57.25</v>
      </c>
    </row>
    <row r="138">
      <c r="A138" s="1" t="s">
        <v>723</v>
      </c>
      <c r="B138" s="1">
        <v>29.25</v>
      </c>
    </row>
    <row r="139">
      <c r="A139" s="1" t="s">
        <v>124</v>
      </c>
      <c r="B139" s="1">
        <v>36.31</v>
      </c>
    </row>
    <row r="140">
      <c r="A140" s="1" t="s">
        <v>724</v>
      </c>
      <c r="B140" s="1">
        <v>36.48</v>
      </c>
    </row>
    <row r="141">
      <c r="A141" s="1" t="s">
        <v>725</v>
      </c>
      <c r="B141" s="1">
        <v>74.47</v>
      </c>
    </row>
    <row r="142">
      <c r="A142" s="1" t="s">
        <v>133</v>
      </c>
      <c r="B142" s="1">
        <v>68.97</v>
      </c>
    </row>
    <row r="143">
      <c r="A143" s="1" t="s">
        <v>109</v>
      </c>
      <c r="B143" s="1">
        <v>0.0</v>
      </c>
    </row>
    <row r="144">
      <c r="A144" s="1" t="s">
        <v>99</v>
      </c>
      <c r="B144" s="1">
        <v>0.0</v>
      </c>
    </row>
    <row r="145">
      <c r="A145" s="1" t="s">
        <v>726</v>
      </c>
      <c r="B145" s="1">
        <v>57.19</v>
      </c>
    </row>
    <row r="146">
      <c r="A146" s="1" t="s">
        <v>727</v>
      </c>
      <c r="B146" s="1">
        <v>68.84</v>
      </c>
    </row>
    <row r="147">
      <c r="A147" s="1" t="s">
        <v>728</v>
      </c>
      <c r="B147" s="1">
        <v>62.28</v>
      </c>
    </row>
    <row r="148">
      <c r="A148" s="1" t="s">
        <v>729</v>
      </c>
      <c r="B148" s="1">
        <v>88.91</v>
      </c>
    </row>
    <row r="149">
      <c r="A149" s="1" t="s">
        <v>386</v>
      </c>
      <c r="B149" s="1">
        <v>69.82</v>
      </c>
    </row>
    <row r="150">
      <c r="A150" s="1" t="s">
        <v>730</v>
      </c>
      <c r="B150" s="1">
        <v>59.0</v>
      </c>
    </row>
    <row r="151">
      <c r="A151" s="1" t="s">
        <v>731</v>
      </c>
      <c r="B151" s="1">
        <v>92.25</v>
      </c>
    </row>
    <row r="152">
      <c r="A152" s="1" t="s">
        <v>732</v>
      </c>
      <c r="B152" s="1">
        <v>67.73</v>
      </c>
    </row>
    <row r="153">
      <c r="A153" s="1" t="s">
        <v>733</v>
      </c>
      <c r="B153" s="1">
        <v>80.32</v>
      </c>
    </row>
    <row r="154">
      <c r="A154" s="1" t="s">
        <v>137</v>
      </c>
      <c r="B154" s="1">
        <v>36.71</v>
      </c>
    </row>
    <row r="155">
      <c r="A155" s="1" t="s">
        <v>734</v>
      </c>
      <c r="B155" s="1">
        <v>79.69</v>
      </c>
    </row>
    <row r="156">
      <c r="A156" s="1" t="s">
        <v>735</v>
      </c>
      <c r="B156" s="1">
        <v>40.06</v>
      </c>
    </row>
    <row r="157">
      <c r="A157" s="1" t="s">
        <v>736</v>
      </c>
      <c r="B157" s="1">
        <v>59.25</v>
      </c>
    </row>
    <row r="158">
      <c r="A158" s="1" t="s">
        <v>737</v>
      </c>
      <c r="B158" s="1">
        <v>52.78</v>
      </c>
    </row>
    <row r="159">
      <c r="A159" s="1" t="s">
        <v>738</v>
      </c>
      <c r="B159" s="1">
        <v>52.06</v>
      </c>
    </row>
    <row r="160">
      <c r="A160" s="1" t="s">
        <v>739</v>
      </c>
      <c r="B160" s="1">
        <v>0.0</v>
      </c>
    </row>
    <row r="161">
      <c r="A161" s="1" t="s">
        <v>740</v>
      </c>
      <c r="B161" s="1">
        <v>71.41</v>
      </c>
    </row>
    <row r="162">
      <c r="A162" s="1" t="s">
        <v>741</v>
      </c>
      <c r="B162" s="1">
        <v>53.26</v>
      </c>
    </row>
    <row r="163">
      <c r="A163" s="1" t="s">
        <v>742</v>
      </c>
      <c r="B163" s="1">
        <v>57.94</v>
      </c>
    </row>
    <row r="164">
      <c r="A164" s="1" t="s">
        <v>743</v>
      </c>
      <c r="B164" s="1">
        <v>49.32</v>
      </c>
    </row>
    <row r="165">
      <c r="A165" s="1" t="s">
        <v>744</v>
      </c>
      <c r="B165" s="1">
        <v>35.98</v>
      </c>
    </row>
    <row r="166">
      <c r="A166" s="1" t="s">
        <v>745</v>
      </c>
      <c r="B166" s="1">
        <v>56.57</v>
      </c>
    </row>
    <row r="167">
      <c r="A167" s="1" t="s">
        <v>43</v>
      </c>
      <c r="B167" s="1">
        <v>85.8</v>
      </c>
    </row>
    <row r="168">
      <c r="A168" s="1" t="s">
        <v>113</v>
      </c>
      <c r="B168" s="1">
        <v>66.53</v>
      </c>
    </row>
    <row r="169">
      <c r="A169" s="1" t="s">
        <v>746</v>
      </c>
      <c r="B169" s="1">
        <v>72.56</v>
      </c>
    </row>
    <row r="170">
      <c r="A170" s="1" t="s">
        <v>747</v>
      </c>
      <c r="B170" s="1">
        <v>45.91</v>
      </c>
    </row>
    <row r="171">
      <c r="A171" s="1" t="s">
        <v>564</v>
      </c>
      <c r="B171" s="1">
        <v>29.25</v>
      </c>
    </row>
    <row r="172">
      <c r="A172" s="1" t="s">
        <v>748</v>
      </c>
      <c r="B172" s="1">
        <v>81.9</v>
      </c>
    </row>
    <row r="173">
      <c r="A173" s="1" t="s">
        <v>749</v>
      </c>
      <c r="B173" s="1">
        <v>44.0</v>
      </c>
    </row>
    <row r="174">
      <c r="A174" s="1" t="s">
        <v>128</v>
      </c>
      <c r="B174" s="1">
        <v>43.25</v>
      </c>
    </row>
    <row r="175">
      <c r="A175" s="1" t="s">
        <v>114</v>
      </c>
      <c r="B175" s="1">
        <v>46.94</v>
      </c>
    </row>
    <row r="176">
      <c r="A176" s="1" t="s">
        <v>750</v>
      </c>
      <c r="B176" s="1">
        <v>66.93</v>
      </c>
    </row>
    <row r="177">
      <c r="A177" s="1" t="s">
        <v>119</v>
      </c>
      <c r="B177" s="1">
        <v>76.53</v>
      </c>
    </row>
    <row r="178">
      <c r="A178" s="1" t="s">
        <v>751</v>
      </c>
      <c r="B178" s="1">
        <v>43.75</v>
      </c>
    </row>
    <row r="179">
      <c r="A179" s="1" t="s">
        <v>451</v>
      </c>
      <c r="B179" s="1">
        <v>51.31</v>
      </c>
    </row>
    <row r="180">
      <c r="A180" s="1" t="s">
        <v>752</v>
      </c>
      <c r="B180" s="1">
        <v>49.03</v>
      </c>
    </row>
    <row r="181">
      <c r="A181" s="1" t="s">
        <v>36</v>
      </c>
      <c r="B181" s="1">
        <v>62.06</v>
      </c>
    </row>
    <row r="182">
      <c r="A182" s="1" t="s">
        <v>753</v>
      </c>
      <c r="B182" s="1">
        <v>71.57</v>
      </c>
    </row>
    <row r="183">
      <c r="A183" s="1" t="s">
        <v>33</v>
      </c>
      <c r="B183" s="1">
        <v>58.25</v>
      </c>
    </row>
    <row r="184">
      <c r="A184" s="1" t="s">
        <v>754</v>
      </c>
      <c r="B184" s="1">
        <v>79.0</v>
      </c>
    </row>
    <row r="185">
      <c r="A185" s="1" t="s">
        <v>39</v>
      </c>
      <c r="B185" s="1">
        <v>61.23</v>
      </c>
    </row>
    <row r="186">
      <c r="A186" s="1" t="s">
        <v>69</v>
      </c>
      <c r="B186" s="1">
        <v>49.89</v>
      </c>
    </row>
    <row r="187">
      <c r="A187" s="1" t="s">
        <v>755</v>
      </c>
      <c r="B187" s="1">
        <v>43.9</v>
      </c>
    </row>
    <row r="188">
      <c r="A188" s="1" t="s">
        <v>44</v>
      </c>
      <c r="B188" s="1">
        <v>43.28</v>
      </c>
    </row>
    <row r="189">
      <c r="A189" s="1" t="s">
        <v>756</v>
      </c>
      <c r="B189" s="1">
        <v>71.4</v>
      </c>
    </row>
    <row r="190">
      <c r="A190" s="1" t="s">
        <v>757</v>
      </c>
      <c r="B190" s="1">
        <v>88.53</v>
      </c>
    </row>
    <row r="191">
      <c r="A191" s="1" t="s">
        <v>758</v>
      </c>
      <c r="B191" s="1">
        <v>45.66</v>
      </c>
    </row>
    <row r="192">
      <c r="A192" s="1" t="s">
        <v>492</v>
      </c>
      <c r="B192" s="1">
        <v>74.43</v>
      </c>
    </row>
    <row r="193">
      <c r="A193" s="1" t="s">
        <v>67</v>
      </c>
      <c r="B193" s="1">
        <v>47.66</v>
      </c>
    </row>
    <row r="194">
      <c r="A194" s="1" t="s">
        <v>759</v>
      </c>
      <c r="B194" s="1">
        <v>47.22</v>
      </c>
    </row>
    <row r="195">
      <c r="A195" s="1" t="s">
        <v>760</v>
      </c>
      <c r="B195" s="1">
        <v>91.55</v>
      </c>
    </row>
    <row r="196">
      <c r="A196" s="1" t="s">
        <v>761</v>
      </c>
      <c r="B196" s="1">
        <v>93.5</v>
      </c>
    </row>
    <row r="197">
      <c r="A197" s="1" t="s">
        <v>762</v>
      </c>
      <c r="B197" s="1">
        <v>52.5</v>
      </c>
    </row>
    <row r="198">
      <c r="A198" s="1" t="s">
        <v>763</v>
      </c>
      <c r="B198" s="1">
        <v>61.09</v>
      </c>
    </row>
    <row r="199">
      <c r="A199" s="1" t="s">
        <v>136</v>
      </c>
      <c r="B199" s="1">
        <v>61.91</v>
      </c>
    </row>
    <row r="200">
      <c r="A200" s="1" t="s">
        <v>91</v>
      </c>
      <c r="B200" s="1">
        <v>82.53</v>
      </c>
    </row>
    <row r="201">
      <c r="A201" s="1" t="s">
        <v>65</v>
      </c>
      <c r="B201" s="1">
        <v>61.66</v>
      </c>
    </row>
    <row r="202">
      <c r="A202" s="1" t="s">
        <v>764</v>
      </c>
      <c r="B202" s="1">
        <v>80.75</v>
      </c>
    </row>
    <row r="203">
      <c r="A203" s="1" t="s">
        <v>74</v>
      </c>
      <c r="B203" s="1">
        <v>82.96</v>
      </c>
    </row>
    <row r="204">
      <c r="A204" s="1" t="s">
        <v>765</v>
      </c>
      <c r="B204" s="1">
        <v>77.49</v>
      </c>
    </row>
    <row r="205">
      <c r="A205" s="1" t="s">
        <v>766</v>
      </c>
      <c r="B205" s="1">
        <v>47.73</v>
      </c>
    </row>
    <row r="206">
      <c r="A206" s="1" t="s">
        <v>767</v>
      </c>
      <c r="B206" s="1">
        <v>40.5</v>
      </c>
    </row>
    <row r="207">
      <c r="A207" s="1" t="s">
        <v>768</v>
      </c>
      <c r="B207" s="1">
        <v>48.5</v>
      </c>
    </row>
    <row r="208">
      <c r="A208" s="1" t="s">
        <v>769</v>
      </c>
      <c r="B208" s="1">
        <v>0.0</v>
      </c>
    </row>
    <row r="209">
      <c r="A209" s="1" t="s">
        <v>770</v>
      </c>
      <c r="B209" s="1">
        <v>42.0</v>
      </c>
    </row>
    <row r="210">
      <c r="A210" s="1" t="s">
        <v>429</v>
      </c>
      <c r="B210" s="1">
        <v>62.46</v>
      </c>
    </row>
    <row r="211">
      <c r="A211" s="1" t="s">
        <v>771</v>
      </c>
      <c r="B211" s="1">
        <v>82.68</v>
      </c>
    </row>
    <row r="212">
      <c r="A212" s="1" t="s">
        <v>772</v>
      </c>
      <c r="B212" s="1">
        <v>97.41</v>
      </c>
    </row>
    <row r="213">
      <c r="A213" s="1" t="s">
        <v>773</v>
      </c>
      <c r="B213" s="1">
        <v>84.81</v>
      </c>
    </row>
    <row r="214">
      <c r="A214" s="1" t="s">
        <v>101</v>
      </c>
      <c r="B214" s="1">
        <v>93.16</v>
      </c>
    </row>
    <row r="215">
      <c r="A215" s="1" t="s">
        <v>774</v>
      </c>
      <c r="B215" s="1">
        <v>73.81</v>
      </c>
    </row>
    <row r="216">
      <c r="A216" s="1" t="s">
        <v>775</v>
      </c>
      <c r="B216" s="1">
        <v>67.25</v>
      </c>
    </row>
    <row r="217">
      <c r="A217" s="1" t="s">
        <v>776</v>
      </c>
      <c r="B217" s="1">
        <v>87.66</v>
      </c>
    </row>
    <row r="218">
      <c r="A218" s="1" t="s">
        <v>777</v>
      </c>
      <c r="B218" s="1">
        <v>80.16</v>
      </c>
    </row>
    <row r="219">
      <c r="A219" s="1" t="s">
        <v>778</v>
      </c>
      <c r="B219" s="1">
        <v>57.97</v>
      </c>
    </row>
    <row r="220">
      <c r="A220" s="1" t="s">
        <v>94</v>
      </c>
      <c r="B220" s="1">
        <v>64.44</v>
      </c>
    </row>
    <row r="221">
      <c r="A221" s="1" t="s">
        <v>779</v>
      </c>
      <c r="B221" s="1">
        <v>67.22</v>
      </c>
    </row>
    <row r="222">
      <c r="A222" s="1" t="s">
        <v>95</v>
      </c>
      <c r="B222" s="1">
        <v>67.1</v>
      </c>
    </row>
    <row r="223">
      <c r="A223" s="1" t="s">
        <v>780</v>
      </c>
      <c r="B223" s="1">
        <v>83.17</v>
      </c>
    </row>
    <row r="224">
      <c r="A224" s="1" t="s">
        <v>103</v>
      </c>
      <c r="B224" s="1">
        <v>63.31</v>
      </c>
    </row>
    <row r="225">
      <c r="A225" s="1" t="s">
        <v>781</v>
      </c>
      <c r="B225" s="1">
        <v>72.67</v>
      </c>
    </row>
    <row r="226">
      <c r="A226" s="1" t="s">
        <v>782</v>
      </c>
      <c r="B226" s="1">
        <v>72.5</v>
      </c>
    </row>
    <row r="227">
      <c r="A227" s="1" t="s">
        <v>102</v>
      </c>
      <c r="B227" s="1">
        <v>63.01</v>
      </c>
    </row>
    <row r="228">
      <c r="A228" s="1" t="s">
        <v>50</v>
      </c>
      <c r="B228" s="1">
        <v>60.89</v>
      </c>
    </row>
    <row r="229">
      <c r="A229" s="1" t="s">
        <v>783</v>
      </c>
      <c r="B229" s="1">
        <v>76.53</v>
      </c>
    </row>
    <row r="230">
      <c r="A230" s="1" t="s">
        <v>784</v>
      </c>
      <c r="B230" s="1">
        <v>66.03</v>
      </c>
    </row>
    <row r="231">
      <c r="A231" s="1" t="s">
        <v>785</v>
      </c>
      <c r="B231" s="1">
        <v>59.65</v>
      </c>
    </row>
    <row r="232">
      <c r="A232" s="1" t="s">
        <v>105</v>
      </c>
      <c r="B232" s="1">
        <v>57.33</v>
      </c>
    </row>
    <row r="233">
      <c r="A233" s="1" t="s">
        <v>786</v>
      </c>
      <c r="B233" s="1">
        <v>90.25</v>
      </c>
    </row>
    <row r="234">
      <c r="A234" s="1" t="s">
        <v>787</v>
      </c>
      <c r="B234" s="1">
        <v>87.16</v>
      </c>
    </row>
    <row r="235">
      <c r="A235" s="1" t="s">
        <v>788</v>
      </c>
      <c r="B235" s="1">
        <v>70.82</v>
      </c>
    </row>
    <row r="236">
      <c r="A236" s="1" t="s">
        <v>789</v>
      </c>
      <c r="B236" s="1">
        <v>44.25</v>
      </c>
    </row>
    <row r="237">
      <c r="A237" s="1" t="s">
        <v>790</v>
      </c>
      <c r="B237" s="1">
        <v>62.72</v>
      </c>
    </row>
    <row r="238">
      <c r="A238" s="1" t="s">
        <v>791</v>
      </c>
      <c r="B238" s="1">
        <v>47.75</v>
      </c>
    </row>
    <row r="239">
      <c r="A239" s="1" t="s">
        <v>792</v>
      </c>
      <c r="B239" s="1">
        <v>52.34</v>
      </c>
    </row>
    <row r="240">
      <c r="A240" s="1" t="s">
        <v>793</v>
      </c>
      <c r="B240" s="1">
        <v>0.0</v>
      </c>
    </row>
    <row r="241">
      <c r="A241" s="1" t="s">
        <v>548</v>
      </c>
      <c r="B241" s="1">
        <v>33.81</v>
      </c>
    </row>
    <row r="242">
      <c r="A242" s="1" t="s">
        <v>72</v>
      </c>
      <c r="B242" s="1">
        <v>35.25</v>
      </c>
    </row>
    <row r="243">
      <c r="A243" s="1" t="s">
        <v>794</v>
      </c>
      <c r="B243" s="1">
        <v>52.74</v>
      </c>
    </row>
    <row r="244">
      <c r="A244" s="1" t="s">
        <v>120</v>
      </c>
      <c r="B244" s="1">
        <v>35.44</v>
      </c>
    </row>
    <row r="245">
      <c r="A245" s="1" t="s">
        <v>795</v>
      </c>
      <c r="B245" s="1">
        <v>53.91</v>
      </c>
    </row>
    <row r="246">
      <c r="A246" s="1" t="s">
        <v>796</v>
      </c>
      <c r="B246" s="1">
        <v>60.25</v>
      </c>
    </row>
    <row r="247">
      <c r="A247" s="20" t="s">
        <v>34</v>
      </c>
      <c r="B247" s="1">
        <v>42.53</v>
      </c>
    </row>
    <row r="248">
      <c r="A248" s="1" t="s">
        <v>797</v>
      </c>
      <c r="B248" s="1">
        <v>86.26</v>
      </c>
    </row>
    <row r="249">
      <c r="A249" s="1" t="s">
        <v>88</v>
      </c>
      <c r="B249" s="1">
        <v>66.71</v>
      </c>
    </row>
    <row r="250">
      <c r="A250" s="1" t="s">
        <v>212</v>
      </c>
      <c r="B250" s="1">
        <v>30.75</v>
      </c>
    </row>
    <row r="251">
      <c r="A251" s="1" t="s">
        <v>798</v>
      </c>
      <c r="B251" s="1">
        <v>71.66</v>
      </c>
    </row>
    <row r="252">
      <c r="A252" s="1" t="s">
        <v>56</v>
      </c>
      <c r="B252" s="1">
        <v>75.96</v>
      </c>
    </row>
    <row r="253">
      <c r="A253" s="1" t="s">
        <v>799</v>
      </c>
      <c r="B253" s="1">
        <v>31.52</v>
      </c>
    </row>
    <row r="254">
      <c r="A254" s="1" t="s">
        <v>800</v>
      </c>
      <c r="B254" s="1">
        <v>48.06</v>
      </c>
    </row>
    <row r="255">
      <c r="A255" s="1" t="s">
        <v>801</v>
      </c>
      <c r="B255" s="1">
        <v>49.28</v>
      </c>
    </row>
    <row r="256">
      <c r="A256" s="1" t="s">
        <v>78</v>
      </c>
      <c r="B256" s="1">
        <v>84.25</v>
      </c>
    </row>
    <row r="257">
      <c r="A257" s="1" t="s">
        <v>802</v>
      </c>
      <c r="B257" s="1">
        <v>66.75</v>
      </c>
    </row>
    <row r="258">
      <c r="A258" s="1" t="s">
        <v>257</v>
      </c>
      <c r="B258" s="1">
        <v>63.55</v>
      </c>
    </row>
    <row r="259">
      <c r="A259" s="1" t="s">
        <v>803</v>
      </c>
      <c r="B259" s="1">
        <v>45.75</v>
      </c>
    </row>
    <row r="260">
      <c r="A260" s="1" t="s">
        <v>804</v>
      </c>
      <c r="B260" s="1">
        <v>60.25</v>
      </c>
    </row>
    <row r="261">
      <c r="A261" s="1" t="s">
        <v>805</v>
      </c>
      <c r="B261" s="1">
        <v>79.48</v>
      </c>
    </row>
    <row r="262">
      <c r="A262" s="1" t="s">
        <v>806</v>
      </c>
      <c r="B262" s="1">
        <v>49.5</v>
      </c>
    </row>
    <row r="263">
      <c r="A263" s="1" t="s">
        <v>111</v>
      </c>
      <c r="B263" s="1">
        <v>89.91</v>
      </c>
    </row>
    <row r="264">
      <c r="A264" s="1" t="s">
        <v>382</v>
      </c>
      <c r="B264" s="1">
        <v>50.15</v>
      </c>
    </row>
    <row r="265">
      <c r="A265" s="1" t="s">
        <v>106</v>
      </c>
      <c r="B265" s="1">
        <v>72.98</v>
      </c>
    </row>
    <row r="266">
      <c r="A266" s="1" t="s">
        <v>60</v>
      </c>
      <c r="B266" s="1">
        <v>56.19</v>
      </c>
    </row>
    <row r="267">
      <c r="A267" s="1" t="s">
        <v>807</v>
      </c>
      <c r="B267" s="1">
        <v>61.5</v>
      </c>
    </row>
    <row r="268">
      <c r="A268" s="1" t="s">
        <v>808</v>
      </c>
      <c r="B268" s="1">
        <v>68.41</v>
      </c>
    </row>
    <row r="269">
      <c r="A269" s="1" t="s">
        <v>809</v>
      </c>
      <c r="B269" s="1">
        <v>24.0</v>
      </c>
    </row>
    <row r="270">
      <c r="A270" s="1" t="s">
        <v>810</v>
      </c>
      <c r="B270" s="1">
        <v>52.5</v>
      </c>
    </row>
    <row r="271">
      <c r="A271" s="1" t="s">
        <v>811</v>
      </c>
      <c r="B271" s="1">
        <v>53.0</v>
      </c>
    </row>
    <row r="272">
      <c r="A272" s="1" t="s">
        <v>812</v>
      </c>
      <c r="B272" s="1">
        <v>52.71</v>
      </c>
    </row>
    <row r="273">
      <c r="A273" s="1" t="s">
        <v>93</v>
      </c>
      <c r="B273" s="1">
        <v>73.25</v>
      </c>
    </row>
    <row r="274">
      <c r="A274" s="1" t="s">
        <v>47</v>
      </c>
      <c r="B274" s="1">
        <v>62.59</v>
      </c>
    </row>
    <row r="275">
      <c r="A275" s="1" t="s">
        <v>52</v>
      </c>
      <c r="B275" s="1">
        <v>54.94</v>
      </c>
    </row>
    <row r="276">
      <c r="A276" s="1" t="s">
        <v>80</v>
      </c>
      <c r="B276" s="1">
        <v>66.03</v>
      </c>
    </row>
    <row r="277">
      <c r="A277" s="1" t="s">
        <v>70</v>
      </c>
      <c r="B277" s="1">
        <v>62.16</v>
      </c>
    </row>
    <row r="278">
      <c r="A278" s="1" t="s">
        <v>205</v>
      </c>
      <c r="B278" s="1">
        <v>70.71</v>
      </c>
    </row>
    <row r="279">
      <c r="A279" s="1" t="s">
        <v>813</v>
      </c>
      <c r="B279" s="1">
        <v>58.19</v>
      </c>
    </row>
    <row r="280">
      <c r="A280" s="1" t="s">
        <v>132</v>
      </c>
      <c r="B280" s="1">
        <v>50.77</v>
      </c>
    </row>
    <row r="281">
      <c r="A281" s="1" t="s">
        <v>814</v>
      </c>
      <c r="B281" s="1">
        <v>41.75</v>
      </c>
    </row>
    <row r="282">
      <c r="A282" s="1" t="s">
        <v>96</v>
      </c>
      <c r="B282" s="1">
        <v>77.44</v>
      </c>
    </row>
    <row r="283">
      <c r="A283" s="1" t="s">
        <v>81</v>
      </c>
      <c r="B283" s="1">
        <v>56.75</v>
      </c>
    </row>
    <row r="284">
      <c r="A284" s="1" t="s">
        <v>41</v>
      </c>
      <c r="B284" s="1">
        <v>56.91</v>
      </c>
    </row>
    <row r="285">
      <c r="A285" s="1" t="s">
        <v>815</v>
      </c>
      <c r="B285" s="1">
        <v>64.94</v>
      </c>
    </row>
    <row r="286">
      <c r="A286" s="1" t="s">
        <v>816</v>
      </c>
      <c r="B286" s="1">
        <v>68.41</v>
      </c>
    </row>
    <row r="287">
      <c r="A287" s="1" t="s">
        <v>817</v>
      </c>
      <c r="B287" s="1">
        <v>54.54</v>
      </c>
    </row>
    <row r="288">
      <c r="A288" s="1" t="s">
        <v>89</v>
      </c>
      <c r="B288" s="1">
        <v>80.65</v>
      </c>
    </row>
    <row r="289">
      <c r="A289" s="1" t="s">
        <v>116</v>
      </c>
      <c r="B289" s="1">
        <v>70.3</v>
      </c>
    </row>
    <row r="290">
      <c r="A290" s="1" t="s">
        <v>71</v>
      </c>
      <c r="B290" s="1">
        <v>83.25</v>
      </c>
    </row>
    <row r="291">
      <c r="A291" s="1" t="s">
        <v>818</v>
      </c>
      <c r="B291" s="1">
        <v>66.25</v>
      </c>
    </row>
    <row r="292">
      <c r="A292" s="1" t="s">
        <v>819</v>
      </c>
      <c r="B292" s="1">
        <v>75.28</v>
      </c>
    </row>
    <row r="293">
      <c r="A293" s="1" t="s">
        <v>820</v>
      </c>
      <c r="B293" s="1">
        <v>81.21</v>
      </c>
    </row>
    <row r="294">
      <c r="A294" s="1" t="s">
        <v>821</v>
      </c>
      <c r="B294" s="1">
        <v>83.5</v>
      </c>
    </row>
    <row r="295">
      <c r="A295" s="1" t="s">
        <v>276</v>
      </c>
      <c r="B295" s="1">
        <v>67.16</v>
      </c>
    </row>
    <row r="296">
      <c r="A296" s="1" t="s">
        <v>235</v>
      </c>
      <c r="B296" s="1">
        <v>96.16</v>
      </c>
    </row>
    <row r="297">
      <c r="A297" s="1" t="s">
        <v>822</v>
      </c>
      <c r="B297" s="1">
        <v>39.25</v>
      </c>
    </row>
    <row r="298">
      <c r="A298" s="1" t="s">
        <v>134</v>
      </c>
      <c r="B298" s="1">
        <v>39.42</v>
      </c>
    </row>
    <row r="299">
      <c r="A299" s="1" t="s">
        <v>823</v>
      </c>
      <c r="B299" s="1">
        <v>0.0</v>
      </c>
    </row>
    <row r="300">
      <c r="A300" s="1" t="s">
        <v>31</v>
      </c>
      <c r="B300" s="1">
        <v>75.94</v>
      </c>
    </row>
    <row r="301">
      <c r="A301" s="1" t="s">
        <v>40</v>
      </c>
      <c r="B301" s="1">
        <v>52.9</v>
      </c>
    </row>
    <row r="302">
      <c r="A302" s="1" t="s">
        <v>45</v>
      </c>
      <c r="B302" s="1">
        <v>74.78</v>
      </c>
    </row>
    <row r="303">
      <c r="A303" s="1" t="s">
        <v>824</v>
      </c>
      <c r="B303" s="1">
        <v>58.23</v>
      </c>
    </row>
    <row r="304">
      <c r="A304" s="1" t="s">
        <v>48</v>
      </c>
      <c r="B304" s="1">
        <v>68.44</v>
      </c>
    </row>
    <row r="305">
      <c r="A305" s="1" t="s">
        <v>354</v>
      </c>
      <c r="B305" s="1">
        <v>42.0</v>
      </c>
    </row>
    <row r="306">
      <c r="A306" s="1" t="s">
        <v>825</v>
      </c>
      <c r="B306" s="1">
        <v>50.03</v>
      </c>
    </row>
    <row r="307">
      <c r="A307" s="1" t="s">
        <v>826</v>
      </c>
      <c r="B307" s="1">
        <v>74.8</v>
      </c>
    </row>
    <row r="308">
      <c r="A308" s="1" t="s">
        <v>827</v>
      </c>
      <c r="B308" s="1">
        <v>77.66</v>
      </c>
    </row>
    <row r="309">
      <c r="A309" s="1" t="s">
        <v>86</v>
      </c>
      <c r="B309" s="1">
        <v>65.54</v>
      </c>
    </row>
    <row r="310">
      <c r="A310" s="1" t="s">
        <v>828</v>
      </c>
      <c r="B310" s="1">
        <v>86.3</v>
      </c>
    </row>
    <row r="311">
      <c r="A311" s="1" t="s">
        <v>829</v>
      </c>
      <c r="B311" s="1">
        <v>72.92</v>
      </c>
    </row>
    <row r="312">
      <c r="A312" s="1" t="s">
        <v>830</v>
      </c>
      <c r="B312" s="1">
        <v>43.5</v>
      </c>
    </row>
    <row r="313">
      <c r="A313" s="1" t="s">
        <v>306</v>
      </c>
      <c r="B313" s="1">
        <v>45.77</v>
      </c>
    </row>
    <row r="314">
      <c r="A314" s="1" t="s">
        <v>541</v>
      </c>
      <c r="B314" s="1">
        <v>54.46</v>
      </c>
    </row>
    <row r="315">
      <c r="A315" s="1" t="s">
        <v>831</v>
      </c>
      <c r="B315" s="1">
        <v>52.5</v>
      </c>
    </row>
    <row r="316">
      <c r="A316" s="1" t="s">
        <v>832</v>
      </c>
      <c r="B316" s="1">
        <v>59.25</v>
      </c>
    </row>
    <row r="317">
      <c r="A317" s="1" t="s">
        <v>833</v>
      </c>
      <c r="B317" s="1">
        <v>76.57</v>
      </c>
    </row>
    <row r="318">
      <c r="A318" s="1" t="s">
        <v>834</v>
      </c>
      <c r="B318" s="1">
        <v>64.67</v>
      </c>
    </row>
    <row r="319">
      <c r="A319" s="1" t="s">
        <v>835</v>
      </c>
      <c r="B319" s="1">
        <v>27.0</v>
      </c>
    </row>
    <row r="320">
      <c r="A320" s="1" t="s">
        <v>110</v>
      </c>
      <c r="B320" s="1">
        <v>88.66</v>
      </c>
    </row>
    <row r="321">
      <c r="A321" s="1" t="s">
        <v>129</v>
      </c>
      <c r="B321" s="1">
        <v>50.06</v>
      </c>
    </row>
    <row r="322">
      <c r="A322" s="1" t="s">
        <v>836</v>
      </c>
      <c r="B322" s="1">
        <v>90.25</v>
      </c>
    </row>
    <row r="323">
      <c r="A323" s="1" t="s">
        <v>837</v>
      </c>
      <c r="B323" s="1">
        <v>44.25</v>
      </c>
    </row>
    <row r="324">
      <c r="A324" s="1" t="s">
        <v>61</v>
      </c>
      <c r="B324" s="1">
        <v>63.66</v>
      </c>
    </row>
    <row r="325">
      <c r="A325" s="1" t="s">
        <v>838</v>
      </c>
      <c r="B325" s="1">
        <v>60.46</v>
      </c>
    </row>
    <row r="326">
      <c r="A326" s="1" t="s">
        <v>839</v>
      </c>
      <c r="B326" s="1">
        <v>18.75</v>
      </c>
    </row>
    <row r="327">
      <c r="A327" s="1" t="s">
        <v>840</v>
      </c>
      <c r="B327" s="1">
        <v>87.28</v>
      </c>
    </row>
    <row r="328">
      <c r="A328" s="1" t="s">
        <v>841</v>
      </c>
      <c r="B328" s="1">
        <v>22.5</v>
      </c>
    </row>
    <row r="329">
      <c r="A329" s="1" t="s">
        <v>32</v>
      </c>
      <c r="B329" s="1">
        <v>86.16</v>
      </c>
    </row>
    <row r="330">
      <c r="A330" s="1" t="s">
        <v>842</v>
      </c>
      <c r="B330" s="1">
        <v>81.42</v>
      </c>
    </row>
    <row r="331">
      <c r="A331" s="1" t="s">
        <v>843</v>
      </c>
      <c r="B331" s="1">
        <v>57.73</v>
      </c>
    </row>
    <row r="332">
      <c r="A332" s="1" t="s">
        <v>844</v>
      </c>
      <c r="B332" s="1">
        <v>62.99</v>
      </c>
    </row>
    <row r="333">
      <c r="A333" s="1" t="s">
        <v>470</v>
      </c>
      <c r="B333" s="1">
        <v>89.25</v>
      </c>
    </row>
    <row r="334">
      <c r="A334" s="1" t="s">
        <v>64</v>
      </c>
      <c r="B334" s="1">
        <v>53.44</v>
      </c>
    </row>
    <row r="335">
      <c r="A335" s="1" t="s">
        <v>845</v>
      </c>
      <c r="B335" s="1">
        <v>80.75</v>
      </c>
    </row>
    <row r="336">
      <c r="A336" s="1" t="s">
        <v>35</v>
      </c>
      <c r="B336" s="1">
        <v>61.57</v>
      </c>
    </row>
    <row r="337">
      <c r="A337" s="1" t="s">
        <v>846</v>
      </c>
      <c r="B337" s="1">
        <v>77.56</v>
      </c>
    </row>
    <row r="338">
      <c r="A338" s="1" t="s">
        <v>847</v>
      </c>
      <c r="B338" s="1">
        <v>51.25</v>
      </c>
    </row>
    <row r="339">
      <c r="A339" s="1" t="s">
        <v>848</v>
      </c>
      <c r="B339" s="1">
        <v>73.13</v>
      </c>
    </row>
    <row r="340">
      <c r="A340" s="1" t="s">
        <v>849</v>
      </c>
      <c r="B340" s="1">
        <v>45.96</v>
      </c>
    </row>
    <row r="341">
      <c r="A341" s="1" t="s">
        <v>850</v>
      </c>
      <c r="B341" s="1">
        <v>42.75</v>
      </c>
    </row>
    <row r="342">
      <c r="A342" s="1" t="s">
        <v>180</v>
      </c>
      <c r="B342" s="1">
        <v>51.75</v>
      </c>
    </row>
    <row r="343">
      <c r="A343" s="1" t="s">
        <v>851</v>
      </c>
      <c r="B343" s="1">
        <v>82.19</v>
      </c>
    </row>
    <row r="344">
      <c r="A344" s="1" t="s">
        <v>852</v>
      </c>
      <c r="B344" s="1">
        <v>50.0</v>
      </c>
    </row>
    <row r="345">
      <c r="A345" s="1" t="s">
        <v>853</v>
      </c>
      <c r="B345" s="1">
        <v>27.53</v>
      </c>
    </row>
    <row r="346">
      <c r="A346" s="1" t="s">
        <v>854</v>
      </c>
      <c r="B346" s="1">
        <v>50.25</v>
      </c>
    </row>
    <row r="347">
      <c r="A347" s="1" t="s">
        <v>855</v>
      </c>
      <c r="B347" s="1">
        <v>54.75</v>
      </c>
    </row>
    <row r="348">
      <c r="A348" s="1" t="s">
        <v>856</v>
      </c>
      <c r="B348" s="1">
        <v>97.41</v>
      </c>
    </row>
    <row r="349">
      <c r="A349" s="1" t="s">
        <v>857</v>
      </c>
      <c r="B349" s="1">
        <v>97.41</v>
      </c>
    </row>
    <row r="350">
      <c r="A350" s="1" t="s">
        <v>858</v>
      </c>
      <c r="B350" s="1">
        <v>30.0</v>
      </c>
    </row>
    <row r="351">
      <c r="A351" s="1" t="s">
        <v>100</v>
      </c>
      <c r="B351" s="1">
        <v>41.55</v>
      </c>
    </row>
    <row r="352">
      <c r="A352" s="1" t="s">
        <v>859</v>
      </c>
      <c r="B352" s="1">
        <v>79.5</v>
      </c>
    </row>
    <row r="353">
      <c r="A353" s="1" t="s">
        <v>118</v>
      </c>
      <c r="B353" s="1">
        <v>60.42</v>
      </c>
    </row>
    <row r="354">
      <c r="A354" s="1" t="s">
        <v>860</v>
      </c>
      <c r="B354" s="1">
        <v>59.92</v>
      </c>
    </row>
    <row r="355">
      <c r="A355" s="1" t="s">
        <v>861</v>
      </c>
      <c r="B355" s="1">
        <v>65.78</v>
      </c>
    </row>
    <row r="356">
      <c r="A356" s="1" t="s">
        <v>216</v>
      </c>
      <c r="B356" s="1">
        <v>81.41</v>
      </c>
    </row>
    <row r="357">
      <c r="A357" s="1" t="s">
        <v>862</v>
      </c>
      <c r="B357" s="1">
        <v>32.41</v>
      </c>
    </row>
    <row r="358">
      <c r="A358" s="1" t="s">
        <v>863</v>
      </c>
      <c r="B358" s="1">
        <v>33.0</v>
      </c>
    </row>
    <row r="359">
      <c r="A359" s="1" t="s">
        <v>332</v>
      </c>
      <c r="B359" s="1">
        <v>73.64</v>
      </c>
    </row>
    <row r="360">
      <c r="A360" s="1" t="s">
        <v>864</v>
      </c>
      <c r="B360" s="1">
        <v>94.41</v>
      </c>
    </row>
    <row r="361">
      <c r="A361" s="1" t="s">
        <v>865</v>
      </c>
      <c r="B361" s="1">
        <v>58.25</v>
      </c>
    </row>
    <row r="362">
      <c r="A362" s="1" t="s">
        <v>866</v>
      </c>
      <c r="B362" s="1">
        <v>72.17</v>
      </c>
    </row>
    <row r="363">
      <c r="A363" s="1" t="s">
        <v>867</v>
      </c>
      <c r="B363" s="1">
        <v>56.51</v>
      </c>
    </row>
    <row r="364">
      <c r="A364" s="1" t="s">
        <v>868</v>
      </c>
      <c r="B364" s="1">
        <v>79.72</v>
      </c>
    </row>
    <row r="365">
      <c r="A365" s="1" t="s">
        <v>869</v>
      </c>
      <c r="B365" s="1">
        <v>46.42</v>
      </c>
    </row>
    <row r="366">
      <c r="A366" s="1" t="s">
        <v>870</v>
      </c>
      <c r="B366" s="1">
        <v>74.16</v>
      </c>
    </row>
    <row r="367">
      <c r="A367" s="1" t="s">
        <v>107</v>
      </c>
      <c r="B367" s="1">
        <v>66.0</v>
      </c>
    </row>
    <row r="368">
      <c r="A368" s="1" t="s">
        <v>49</v>
      </c>
      <c r="B368" s="1">
        <v>45.5</v>
      </c>
    </row>
    <row r="369">
      <c r="A369" s="1" t="s">
        <v>871</v>
      </c>
      <c r="B369" s="1">
        <v>43.42</v>
      </c>
    </row>
    <row r="370">
      <c r="A370" s="1" t="s">
        <v>872</v>
      </c>
      <c r="B370" s="1">
        <v>44.0</v>
      </c>
    </row>
    <row r="371">
      <c r="A371" s="1" t="s">
        <v>873</v>
      </c>
      <c r="B371" s="1">
        <v>57.25</v>
      </c>
    </row>
    <row r="372">
      <c r="A372" s="1" t="s">
        <v>77</v>
      </c>
      <c r="B372" s="1">
        <v>84.65</v>
      </c>
    </row>
    <row r="373">
      <c r="A373" s="1" t="s">
        <v>874</v>
      </c>
      <c r="B373" s="1">
        <v>72.17</v>
      </c>
    </row>
    <row r="374">
      <c r="A374" s="1" t="s">
        <v>38</v>
      </c>
      <c r="B374" s="1">
        <v>68.44</v>
      </c>
    </row>
    <row r="375">
      <c r="A375" s="1" t="s">
        <v>875</v>
      </c>
      <c r="B375" s="1">
        <v>18.0</v>
      </c>
    </row>
    <row r="376">
      <c r="A376" s="1" t="s">
        <v>876</v>
      </c>
      <c r="B376" s="1">
        <v>39.76</v>
      </c>
    </row>
    <row r="377">
      <c r="A377" s="1" t="s">
        <v>877</v>
      </c>
      <c r="B377" s="1">
        <v>53.25</v>
      </c>
    </row>
    <row r="378">
      <c r="A378" s="1" t="s">
        <v>878</v>
      </c>
      <c r="B378" s="1">
        <v>66.07</v>
      </c>
    </row>
    <row r="379">
      <c r="A379" s="1" t="s">
        <v>879</v>
      </c>
      <c r="B379" s="1">
        <v>93.5</v>
      </c>
    </row>
    <row r="380">
      <c r="A380" s="1" t="s">
        <v>880</v>
      </c>
      <c r="B380" s="1">
        <v>44.26</v>
      </c>
    </row>
    <row r="381">
      <c r="A381" s="1" t="s">
        <v>881</v>
      </c>
      <c r="B381" s="1">
        <v>70.48</v>
      </c>
    </row>
    <row r="382">
      <c r="A382" s="1" t="s">
        <v>131</v>
      </c>
      <c r="B382" s="1">
        <v>76.45</v>
      </c>
    </row>
    <row r="383">
      <c r="A383" s="1" t="s">
        <v>882</v>
      </c>
      <c r="B383" s="1">
        <v>100.0</v>
      </c>
    </row>
    <row r="384">
      <c r="A384" s="1" t="s">
        <v>883</v>
      </c>
      <c r="B384" s="1">
        <v>35.75</v>
      </c>
    </row>
    <row r="385">
      <c r="A385" s="1" t="s">
        <v>884</v>
      </c>
      <c r="B385" s="1">
        <v>91.0</v>
      </c>
    </row>
    <row r="386">
      <c r="A386" s="1" t="s">
        <v>83</v>
      </c>
      <c r="B386" s="1">
        <v>73.15</v>
      </c>
    </row>
    <row r="387">
      <c r="A387" s="1" t="s">
        <v>135</v>
      </c>
      <c r="B387" s="1">
        <v>77.78</v>
      </c>
    </row>
    <row r="388">
      <c r="A388" s="1" t="s">
        <v>885</v>
      </c>
      <c r="B388" s="1">
        <v>53.25</v>
      </c>
    </row>
    <row r="389">
      <c r="A389" s="1" t="s">
        <v>37</v>
      </c>
      <c r="B389" s="1">
        <v>61.57</v>
      </c>
    </row>
    <row r="390">
      <c r="A390" s="1" t="s">
        <v>886</v>
      </c>
      <c r="B390" s="1">
        <v>68.69</v>
      </c>
    </row>
    <row r="391">
      <c r="A391" s="1" t="s">
        <v>123</v>
      </c>
      <c r="B391" s="1">
        <v>23.25</v>
      </c>
    </row>
    <row r="392">
      <c r="A392" s="1" t="s">
        <v>887</v>
      </c>
      <c r="B392" s="1">
        <v>68.35</v>
      </c>
    </row>
    <row r="393">
      <c r="A393" s="1" t="s">
        <v>888</v>
      </c>
      <c r="B393" s="1">
        <v>48.54</v>
      </c>
    </row>
    <row r="394">
      <c r="A394" s="1" t="s">
        <v>889</v>
      </c>
      <c r="B394" s="1">
        <v>43.94</v>
      </c>
    </row>
    <row r="395">
      <c r="A395" s="1" t="s">
        <v>890</v>
      </c>
      <c r="B395" s="1">
        <v>75.21</v>
      </c>
    </row>
    <row r="396">
      <c r="A396" s="1" t="s">
        <v>76</v>
      </c>
      <c r="B396" s="1">
        <v>55.11</v>
      </c>
    </row>
    <row r="397">
      <c r="A397" s="1" t="s">
        <v>63</v>
      </c>
      <c r="B397" s="1">
        <v>89.25</v>
      </c>
    </row>
    <row r="398">
      <c r="A398" s="1" t="s">
        <v>891</v>
      </c>
      <c r="B398" s="1">
        <v>48.25</v>
      </c>
    </row>
    <row r="399">
      <c r="A399" s="1" t="s">
        <v>892</v>
      </c>
      <c r="B399" s="1">
        <v>51.5</v>
      </c>
    </row>
    <row r="400">
      <c r="A400" s="1" t="s">
        <v>92</v>
      </c>
      <c r="B400" s="1">
        <v>83.25</v>
      </c>
    </row>
    <row r="401">
      <c r="A401" s="1" t="s">
        <v>893</v>
      </c>
      <c r="B401" s="1">
        <v>71.66</v>
      </c>
    </row>
    <row r="402">
      <c r="A402" s="1" t="s">
        <v>894</v>
      </c>
      <c r="B402" s="1">
        <v>76.66</v>
      </c>
    </row>
    <row r="403">
      <c r="A403" s="1" t="s">
        <v>895</v>
      </c>
      <c r="B403" s="1">
        <v>18.0</v>
      </c>
    </row>
    <row r="404">
      <c r="A404" s="1" t="s">
        <v>896</v>
      </c>
      <c r="B404" s="1">
        <v>61.75</v>
      </c>
    </row>
    <row r="405">
      <c r="A405" s="1" t="s">
        <v>51</v>
      </c>
      <c r="B405" s="1">
        <v>55.16</v>
      </c>
    </row>
    <row r="406">
      <c r="A406" s="1" t="s">
        <v>897</v>
      </c>
      <c r="B406" s="1">
        <v>49.0</v>
      </c>
    </row>
    <row r="407">
      <c r="A407" s="1" t="s">
        <v>898</v>
      </c>
      <c r="B407" s="1">
        <v>51.0</v>
      </c>
    </row>
    <row r="408">
      <c r="A408" s="1" t="s">
        <v>899</v>
      </c>
      <c r="B408" s="1">
        <v>41.25</v>
      </c>
    </row>
    <row r="409">
      <c r="A409" s="1" t="s">
        <v>900</v>
      </c>
      <c r="B409" s="1">
        <v>77.5</v>
      </c>
    </row>
    <row r="410">
      <c r="A410" s="1" t="s">
        <v>54</v>
      </c>
      <c r="B410" s="1">
        <v>72.99</v>
      </c>
    </row>
    <row r="411">
      <c r="A411" s="1" t="s">
        <v>901</v>
      </c>
      <c r="B411" s="1">
        <v>65.26</v>
      </c>
    </row>
    <row r="412">
      <c r="A412" s="1" t="s">
        <v>42</v>
      </c>
      <c r="B412" s="1">
        <v>48.0</v>
      </c>
    </row>
    <row r="413">
      <c r="A413" s="1" t="s">
        <v>112</v>
      </c>
      <c r="B413" s="1">
        <v>47.22</v>
      </c>
    </row>
    <row r="414">
      <c r="A414" s="1" t="s">
        <v>68</v>
      </c>
      <c r="B414" s="1">
        <v>63.22</v>
      </c>
    </row>
    <row r="415">
      <c r="A415" s="1" t="s">
        <v>902</v>
      </c>
      <c r="B415" s="1">
        <v>74.91</v>
      </c>
    </row>
    <row r="416">
      <c r="A416" s="1" t="s">
        <v>903</v>
      </c>
      <c r="B416" s="1">
        <v>71.71</v>
      </c>
    </row>
    <row r="417">
      <c r="A417" s="1" t="s">
        <v>904</v>
      </c>
      <c r="B417" s="1">
        <v>61.9</v>
      </c>
    </row>
    <row r="418">
      <c r="A418" s="1" t="s">
        <v>905</v>
      </c>
      <c r="B418" s="1">
        <v>0.0</v>
      </c>
    </row>
    <row r="419">
      <c r="A419" s="1" t="s">
        <v>906</v>
      </c>
      <c r="B419" s="1">
        <v>57.56</v>
      </c>
    </row>
    <row r="420">
      <c r="A420" s="1" t="s">
        <v>87</v>
      </c>
      <c r="B420" s="1">
        <v>69.17</v>
      </c>
    </row>
    <row r="421">
      <c r="A421" s="1" t="s">
        <v>907</v>
      </c>
      <c r="B421" s="1">
        <v>79.26</v>
      </c>
    </row>
    <row r="422">
      <c r="A422" s="1" t="s">
        <v>908</v>
      </c>
      <c r="B422" s="1">
        <v>53.75</v>
      </c>
    </row>
    <row r="423">
      <c r="A423" s="1" t="s">
        <v>909</v>
      </c>
      <c r="B423" s="1">
        <v>68.25</v>
      </c>
    </row>
    <row r="424">
      <c r="A424" s="1" t="s">
        <v>910</v>
      </c>
      <c r="B424" s="1">
        <v>80.99</v>
      </c>
    </row>
    <row r="425">
      <c r="A425" s="1" t="s">
        <v>911</v>
      </c>
      <c r="B425" s="1">
        <v>70.25</v>
      </c>
    </row>
    <row r="426">
      <c r="A426" s="1" t="s">
        <v>912</v>
      </c>
      <c r="B426" s="1">
        <v>48.44</v>
      </c>
    </row>
    <row r="427">
      <c r="A427" s="1" t="s">
        <v>913</v>
      </c>
      <c r="B427" s="1">
        <v>63.46</v>
      </c>
    </row>
    <row r="428">
      <c r="A428" s="1" t="s">
        <v>914</v>
      </c>
      <c r="B428" s="1">
        <v>50.75</v>
      </c>
    </row>
    <row r="429">
      <c r="A429" s="1" t="s">
        <v>130</v>
      </c>
      <c r="B429" s="1">
        <v>46.5</v>
      </c>
    </row>
    <row r="430">
      <c r="A430" s="1" t="s">
        <v>82</v>
      </c>
      <c r="B430" s="1">
        <v>54.53</v>
      </c>
    </row>
    <row r="431">
      <c r="A431" s="1" t="s">
        <v>53</v>
      </c>
      <c r="B431" s="1">
        <v>55.71</v>
      </c>
    </row>
    <row r="432">
      <c r="A432" s="1" t="s">
        <v>915</v>
      </c>
      <c r="B432" s="1">
        <v>86.5</v>
      </c>
    </row>
    <row r="433">
      <c r="A433" s="1" t="s">
        <v>916</v>
      </c>
      <c r="B433" s="1">
        <v>72.25</v>
      </c>
    </row>
    <row r="434">
      <c r="A434" s="1" t="s">
        <v>917</v>
      </c>
      <c r="B434" s="1">
        <v>57.45</v>
      </c>
    </row>
    <row r="435">
      <c r="A435" s="1" t="s">
        <v>918</v>
      </c>
      <c r="B435" s="1">
        <v>55.19</v>
      </c>
    </row>
    <row r="436">
      <c r="A436" s="1" t="s">
        <v>919</v>
      </c>
      <c r="B436" s="1">
        <v>65.25</v>
      </c>
    </row>
    <row r="437">
      <c r="A437" s="1" t="s">
        <v>920</v>
      </c>
      <c r="B437" s="1">
        <v>69.47</v>
      </c>
    </row>
    <row r="438">
      <c r="A438" s="1" t="s">
        <v>108</v>
      </c>
      <c r="B438" s="1">
        <v>37.75</v>
      </c>
    </row>
    <row r="439">
      <c r="A439" s="1" t="s">
        <v>921</v>
      </c>
      <c r="B439" s="1">
        <v>61.02</v>
      </c>
    </row>
    <row r="440">
      <c r="A440" s="1" t="s">
        <v>922</v>
      </c>
      <c r="B440" s="1">
        <v>85.03</v>
      </c>
    </row>
    <row r="441">
      <c r="A441" s="1" t="s">
        <v>923</v>
      </c>
      <c r="B441" s="1">
        <v>66.59</v>
      </c>
    </row>
    <row r="442">
      <c r="A442" s="1" t="s">
        <v>924</v>
      </c>
      <c r="B442" s="1">
        <v>48.43</v>
      </c>
    </row>
    <row r="443">
      <c r="A443" s="1" t="s">
        <v>30</v>
      </c>
      <c r="B443" s="1">
        <v>71.09</v>
      </c>
    </row>
    <row r="444">
      <c r="A444" s="1" t="s">
        <v>295</v>
      </c>
      <c r="B444" s="1">
        <v>54.94</v>
      </c>
    </row>
    <row r="445">
      <c r="A445" s="1" t="s">
        <v>925</v>
      </c>
      <c r="B445" s="1">
        <v>85.98</v>
      </c>
    </row>
    <row r="446">
      <c r="A446" s="1" t="s">
        <v>926</v>
      </c>
      <c r="B446" s="1">
        <v>97.0</v>
      </c>
    </row>
    <row r="447">
      <c r="A447" s="1" t="s">
        <v>927</v>
      </c>
      <c r="B447" s="1">
        <v>32.03</v>
      </c>
    </row>
    <row r="448">
      <c r="A448" s="1" t="s">
        <v>928</v>
      </c>
      <c r="B448" s="1">
        <v>0.0</v>
      </c>
    </row>
    <row r="449">
      <c r="A449" s="1" t="s">
        <v>929</v>
      </c>
      <c r="B449" s="1">
        <v>61.69</v>
      </c>
    </row>
    <row r="450">
      <c r="A450" s="1" t="s">
        <v>930</v>
      </c>
      <c r="B450" s="1">
        <v>44.25</v>
      </c>
    </row>
    <row r="451">
      <c r="A451" s="1" t="s">
        <v>931</v>
      </c>
      <c r="B451" s="1">
        <v>85.66</v>
      </c>
    </row>
    <row r="452">
      <c r="A452" s="1" t="s">
        <v>932</v>
      </c>
      <c r="B452" s="1">
        <v>67.88</v>
      </c>
    </row>
    <row r="453">
      <c r="A453" s="1" t="s">
        <v>933</v>
      </c>
      <c r="B453" s="1">
        <v>56.25</v>
      </c>
    </row>
    <row r="454">
      <c r="A454" s="1" t="s">
        <v>934</v>
      </c>
      <c r="B454" s="1">
        <v>39.56</v>
      </c>
    </row>
    <row r="455">
      <c r="A455" s="1" t="s">
        <v>62</v>
      </c>
      <c r="B455" s="1">
        <v>39.81</v>
      </c>
    </row>
    <row r="456">
      <c r="A456" s="1" t="s">
        <v>935</v>
      </c>
      <c r="B456" s="1">
        <v>45.25</v>
      </c>
    </row>
    <row r="457">
      <c r="A457" s="1" t="s">
        <v>936</v>
      </c>
      <c r="B457" s="1">
        <v>66.46</v>
      </c>
    </row>
    <row r="458">
      <c r="A458" s="1" t="s">
        <v>937</v>
      </c>
      <c r="B458" s="1">
        <v>78.28</v>
      </c>
    </row>
    <row r="459">
      <c r="A459" s="1" t="s">
        <v>46</v>
      </c>
      <c r="B459" s="1">
        <v>93.25</v>
      </c>
    </row>
    <row r="460">
      <c r="A460" s="1" t="s">
        <v>938</v>
      </c>
      <c r="B460" s="1">
        <v>73.88</v>
      </c>
    </row>
    <row r="461">
      <c r="A461" s="1" t="s">
        <v>127</v>
      </c>
      <c r="B461" s="1">
        <v>47.78</v>
      </c>
    </row>
    <row r="462">
      <c r="A462" s="1" t="s">
        <v>939</v>
      </c>
      <c r="B462" s="1">
        <v>59.89</v>
      </c>
    </row>
    <row r="463">
      <c r="A463" s="1" t="s">
        <v>940</v>
      </c>
      <c r="B463" s="1">
        <v>22.75</v>
      </c>
    </row>
    <row r="464">
      <c r="A464" s="1" t="s">
        <v>55</v>
      </c>
      <c r="B464" s="1">
        <v>89.45</v>
      </c>
    </row>
    <row r="465">
      <c r="A465" s="1" t="s">
        <v>941</v>
      </c>
      <c r="B465" s="1">
        <v>85.0</v>
      </c>
    </row>
    <row r="466">
      <c r="A466" s="1" t="s">
        <v>57</v>
      </c>
      <c r="B466" s="1">
        <v>34.25</v>
      </c>
    </row>
    <row r="467">
      <c r="A467" s="1" t="s">
        <v>942</v>
      </c>
      <c r="B467" s="1">
        <v>46.83</v>
      </c>
    </row>
    <row r="468">
      <c r="A468" s="1" t="s">
        <v>943</v>
      </c>
      <c r="B468" s="1">
        <v>94.0</v>
      </c>
    </row>
    <row r="469">
      <c r="A469" s="1" t="s">
        <v>79</v>
      </c>
      <c r="B469" s="1">
        <v>70.2</v>
      </c>
    </row>
    <row r="470">
      <c r="A470" s="1" t="s">
        <v>944</v>
      </c>
      <c r="B470" s="1">
        <v>97.0</v>
      </c>
    </row>
    <row r="471">
      <c r="A471" s="1" t="s">
        <v>945</v>
      </c>
      <c r="B471" s="1">
        <v>88.32</v>
      </c>
    </row>
    <row r="472">
      <c r="A472" s="1" t="s">
        <v>98</v>
      </c>
      <c r="B472" s="1">
        <v>66.48</v>
      </c>
    </row>
    <row r="473">
      <c r="A473" s="1" t="s">
        <v>58</v>
      </c>
      <c r="B473" s="1">
        <v>59.75</v>
      </c>
    </row>
    <row r="474">
      <c r="A474" s="1" t="s">
        <v>946</v>
      </c>
      <c r="B474" s="1">
        <v>78.9</v>
      </c>
    </row>
    <row r="475">
      <c r="A475" s="1" t="s">
        <v>947</v>
      </c>
      <c r="B475" s="1">
        <v>69.8</v>
      </c>
    </row>
    <row r="476">
      <c r="A476" s="1" t="s">
        <v>948</v>
      </c>
      <c r="B476" s="1">
        <v>38.25</v>
      </c>
    </row>
    <row r="477">
      <c r="A477" s="1" t="s">
        <v>90</v>
      </c>
      <c r="B477" s="1">
        <v>73.16</v>
      </c>
    </row>
    <row r="478">
      <c r="A478" s="1" t="s">
        <v>949</v>
      </c>
      <c r="B478" s="1">
        <v>69.8</v>
      </c>
    </row>
    <row r="479">
      <c r="A479" s="1" t="s">
        <v>66</v>
      </c>
      <c r="B479" s="1">
        <v>38.25</v>
      </c>
    </row>
    <row r="480">
      <c r="A480" s="1" t="s">
        <v>950</v>
      </c>
      <c r="B480" s="1">
        <v>50.71</v>
      </c>
    </row>
    <row r="481">
      <c r="A481" s="1" t="s">
        <v>951</v>
      </c>
      <c r="B481" s="1">
        <v>88.01</v>
      </c>
    </row>
    <row r="482">
      <c r="A482" s="1" t="s">
        <v>121</v>
      </c>
      <c r="B482" s="1">
        <v>30.75</v>
      </c>
    </row>
    <row r="483">
      <c r="A483" s="1" t="s">
        <v>84</v>
      </c>
      <c r="B483" s="1">
        <v>71.44</v>
      </c>
    </row>
    <row r="484">
      <c r="A484" s="1" t="s">
        <v>952</v>
      </c>
      <c r="B484" s="1">
        <v>97.0</v>
      </c>
    </row>
    <row r="485">
      <c r="A485" s="1" t="s">
        <v>953</v>
      </c>
      <c r="B485" s="1">
        <v>65.41</v>
      </c>
    </row>
    <row r="486">
      <c r="A486" s="1" t="s">
        <v>954</v>
      </c>
      <c r="B486" s="1">
        <v>59.53</v>
      </c>
    </row>
    <row r="487">
      <c r="A487" s="1" t="s">
        <v>955</v>
      </c>
      <c r="B487" s="1">
        <v>55.93</v>
      </c>
    </row>
    <row r="488">
      <c r="A488" s="1" t="s">
        <v>956</v>
      </c>
      <c r="B488" s="1">
        <v>81.7</v>
      </c>
    </row>
    <row r="489">
      <c r="A489" s="1" t="s">
        <v>957</v>
      </c>
      <c r="B489" s="1">
        <v>54.75</v>
      </c>
    </row>
    <row r="490">
      <c r="A490" s="1" t="s">
        <v>59</v>
      </c>
      <c r="B490" s="1">
        <v>69.63</v>
      </c>
    </row>
    <row r="491">
      <c r="A491" s="1" t="s">
        <v>958</v>
      </c>
      <c r="B491" s="1">
        <v>90.0</v>
      </c>
    </row>
    <row r="492">
      <c r="A492" s="1" t="s">
        <v>959</v>
      </c>
      <c r="B492" s="1">
        <v>35.25</v>
      </c>
    </row>
    <row r="493">
      <c r="A493" s="1" t="s">
        <v>97</v>
      </c>
      <c r="B493" s="1">
        <v>76.25</v>
      </c>
    </row>
    <row r="494">
      <c r="A494" s="1" t="s">
        <v>960</v>
      </c>
      <c r="B494" s="1">
        <v>0.0</v>
      </c>
    </row>
    <row r="495">
      <c r="A495" s="1" t="s">
        <v>961</v>
      </c>
      <c r="B495" s="1">
        <v>69.76</v>
      </c>
    </row>
    <row r="496">
      <c r="A496" s="1" t="s">
        <v>104</v>
      </c>
      <c r="B496" s="1">
        <v>51.0</v>
      </c>
    </row>
    <row r="497">
      <c r="A497" s="1" t="s">
        <v>962</v>
      </c>
      <c r="B497" s="1">
        <v>58.5</v>
      </c>
    </row>
    <row r="498">
      <c r="A498" s="1" t="s">
        <v>299</v>
      </c>
      <c r="B498" s="1">
        <v>67.75</v>
      </c>
    </row>
    <row r="499">
      <c r="A499" s="1" t="s">
        <v>73</v>
      </c>
      <c r="B499" s="1">
        <v>89.48</v>
      </c>
    </row>
    <row r="500">
      <c r="A500" s="1" t="s">
        <v>963</v>
      </c>
      <c r="B500" s="1">
        <v>54.25</v>
      </c>
    </row>
    <row r="501">
      <c r="A501" s="1" t="s">
        <v>964</v>
      </c>
      <c r="B501" s="1">
        <v>51.0</v>
      </c>
    </row>
    <row r="502">
      <c r="A502" s="1" t="s">
        <v>117</v>
      </c>
      <c r="B502" s="1">
        <v>66.73</v>
      </c>
    </row>
    <row r="503">
      <c r="A503" s="1" t="s">
        <v>126</v>
      </c>
      <c r="B503" s="1">
        <v>59.0</v>
      </c>
    </row>
    <row r="504">
      <c r="A504" s="1" t="s">
        <v>965</v>
      </c>
      <c r="B504" s="1">
        <v>53.58</v>
      </c>
    </row>
    <row r="505">
      <c r="A505" s="1" t="s">
        <v>966</v>
      </c>
      <c r="B505" s="1">
        <v>50.25</v>
      </c>
    </row>
    <row r="506">
      <c r="A506" s="1" t="s">
        <v>967</v>
      </c>
      <c r="B506" s="1">
        <v>89.16</v>
      </c>
    </row>
    <row r="507">
      <c r="A507" s="1" t="s">
        <v>85</v>
      </c>
      <c r="B507" s="1">
        <v>41.78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968</v>
      </c>
    </row>
    <row r="2">
      <c r="A2" s="1" t="s">
        <v>79</v>
      </c>
      <c r="B2" s="1">
        <v>0.0</v>
      </c>
    </row>
    <row r="3">
      <c r="A3" s="1" t="s">
        <v>60</v>
      </c>
      <c r="B3" s="1">
        <v>0.75</v>
      </c>
    </row>
    <row r="4">
      <c r="A4" s="1" t="s">
        <v>48</v>
      </c>
      <c r="B4" s="1">
        <v>0.0454545454545454</v>
      </c>
    </row>
    <row r="5">
      <c r="A5" s="1" t="s">
        <v>69</v>
      </c>
      <c r="B5" s="1">
        <v>0.125</v>
      </c>
    </row>
    <row r="6">
      <c r="A6" s="1" t="s">
        <v>32</v>
      </c>
      <c r="B6" s="1">
        <v>0.0</v>
      </c>
    </row>
    <row r="7">
      <c r="A7" s="1" t="s">
        <v>71</v>
      </c>
      <c r="B7" s="1">
        <v>0.0</v>
      </c>
    </row>
    <row r="8">
      <c r="A8" s="1" t="s">
        <v>46</v>
      </c>
      <c r="B8" s="1">
        <v>0.0</v>
      </c>
    </row>
    <row r="9">
      <c r="A9" s="1" t="s">
        <v>111</v>
      </c>
      <c r="B9" s="1">
        <v>0.533333333333333</v>
      </c>
    </row>
    <row r="10">
      <c r="A10" s="1" t="s">
        <v>205</v>
      </c>
      <c r="B10" s="1">
        <v>0.722222222222222</v>
      </c>
    </row>
    <row r="11">
      <c r="A11" s="1" t="s">
        <v>135</v>
      </c>
      <c r="B11" s="1">
        <v>0.25</v>
      </c>
    </row>
    <row r="12">
      <c r="A12" s="1" t="s">
        <v>95</v>
      </c>
      <c r="B12" s="1">
        <v>0.142857142857142</v>
      </c>
    </row>
    <row r="13">
      <c r="A13" s="1" t="s">
        <v>63</v>
      </c>
      <c r="B13" s="1">
        <v>0.285714285714285</v>
      </c>
    </row>
    <row r="14">
      <c r="A14" s="1" t="s">
        <v>86</v>
      </c>
      <c r="B14" s="1">
        <v>0.541666666666666</v>
      </c>
    </row>
    <row r="15">
      <c r="A15" s="1" t="s">
        <v>116</v>
      </c>
      <c r="B15" s="1">
        <v>0.0</v>
      </c>
    </row>
    <row r="16">
      <c r="A16" s="1" t="s">
        <v>96</v>
      </c>
      <c r="B16" s="1">
        <v>0.375</v>
      </c>
    </row>
    <row r="17">
      <c r="A17" s="1" t="s">
        <v>110</v>
      </c>
      <c r="B17" s="1">
        <v>0.52</v>
      </c>
    </row>
    <row r="18">
      <c r="A18" s="1" t="s">
        <v>120</v>
      </c>
      <c r="B18" s="1">
        <v>0.0</v>
      </c>
    </row>
    <row r="19">
      <c r="A19" s="1" t="s">
        <v>77</v>
      </c>
      <c r="B19" s="1">
        <v>0.0</v>
      </c>
    </row>
    <row r="20">
      <c r="A20" s="1" t="s">
        <v>94</v>
      </c>
      <c r="B20" s="1">
        <v>0.260869565217391</v>
      </c>
    </row>
    <row r="21">
      <c r="A21" s="1" t="s">
        <v>87</v>
      </c>
      <c r="B21" s="1">
        <v>0.2</v>
      </c>
    </row>
    <row r="22">
      <c r="A22" s="1" t="s">
        <v>29</v>
      </c>
      <c r="B22" s="1">
        <v>0.333333333333333</v>
      </c>
    </row>
    <row r="23">
      <c r="A23" s="1" t="s">
        <v>129</v>
      </c>
      <c r="B23" s="1">
        <v>0.0</v>
      </c>
    </row>
    <row r="24">
      <c r="A24" s="1" t="s">
        <v>100</v>
      </c>
      <c r="B24" s="1">
        <v>1.0</v>
      </c>
    </row>
    <row r="25">
      <c r="A25" s="1" t="s">
        <v>122</v>
      </c>
      <c r="B25" s="1">
        <v>0.2</v>
      </c>
    </row>
    <row r="26">
      <c r="A26" s="1" t="s">
        <v>137</v>
      </c>
      <c r="B26" s="1">
        <v>0.2</v>
      </c>
    </row>
    <row r="27">
      <c r="A27" s="1" t="s">
        <v>118</v>
      </c>
      <c r="B27" s="1">
        <v>0.0</v>
      </c>
    </row>
    <row r="28">
      <c r="A28" s="1" t="s">
        <v>115</v>
      </c>
      <c r="B28" s="1">
        <v>0.2</v>
      </c>
    </row>
    <row r="29">
      <c r="A29" s="1" t="s">
        <v>76</v>
      </c>
      <c r="B29" s="1">
        <v>0.692307692307692</v>
      </c>
    </row>
    <row r="30">
      <c r="A30" s="1" t="s">
        <v>88</v>
      </c>
      <c r="B30" s="1">
        <v>0.25</v>
      </c>
    </row>
    <row r="31">
      <c r="A31" s="1" t="s">
        <v>41</v>
      </c>
      <c r="B31" s="1">
        <v>0.695652173913043</v>
      </c>
    </row>
    <row r="32">
      <c r="A32" s="1" t="s">
        <v>104</v>
      </c>
      <c r="B32" s="1">
        <v>0.346153846153846</v>
      </c>
    </row>
    <row r="33">
      <c r="A33" s="1" t="s">
        <v>133</v>
      </c>
      <c r="B33" s="1">
        <v>0.823529411764705</v>
      </c>
    </row>
    <row r="34">
      <c r="A34" s="1" t="s">
        <v>67</v>
      </c>
      <c r="B34" s="1">
        <v>0.58</v>
      </c>
    </row>
    <row r="35">
      <c r="A35" s="1" t="s">
        <v>108</v>
      </c>
      <c r="B35" s="1">
        <v>1.0</v>
      </c>
    </row>
    <row r="36">
      <c r="A36" s="1" t="s">
        <v>39</v>
      </c>
      <c r="B36" s="1">
        <v>0.1875</v>
      </c>
    </row>
    <row r="37">
      <c r="A37" s="1" t="s">
        <v>56</v>
      </c>
      <c r="B37" s="1">
        <v>0.277777777777777</v>
      </c>
    </row>
    <row r="38">
      <c r="A38" s="1" t="s">
        <v>55</v>
      </c>
      <c r="B38" s="1">
        <v>0.0</v>
      </c>
    </row>
    <row r="39">
      <c r="A39" s="1" t="s">
        <v>78</v>
      </c>
      <c r="B39" s="1">
        <v>0.0555555555555555</v>
      </c>
    </row>
    <row r="40">
      <c r="A40" s="1" t="s">
        <v>83</v>
      </c>
      <c r="B40" s="1">
        <v>0.0</v>
      </c>
    </row>
    <row r="41">
      <c r="A41" s="1" t="s">
        <v>34</v>
      </c>
      <c r="B41" s="1">
        <v>0.0</v>
      </c>
    </row>
    <row r="42">
      <c r="A42" s="1" t="s">
        <v>134</v>
      </c>
      <c r="B42" s="1">
        <v>0.25</v>
      </c>
    </row>
    <row r="43">
      <c r="A43" s="1" t="s">
        <v>81</v>
      </c>
      <c r="B43" s="1">
        <v>0.25</v>
      </c>
    </row>
    <row r="44">
      <c r="A44" s="1" t="s">
        <v>80</v>
      </c>
      <c r="B44" s="1">
        <v>0.333333333333333</v>
      </c>
    </row>
    <row r="45">
      <c r="A45" s="1" t="s">
        <v>113</v>
      </c>
      <c r="B45" s="1">
        <v>0.714285714285714</v>
      </c>
    </row>
    <row r="46">
      <c r="A46" s="1" t="s">
        <v>126</v>
      </c>
      <c r="B46" s="1">
        <v>0.875</v>
      </c>
    </row>
    <row r="47">
      <c r="A47" s="1" t="s">
        <v>102</v>
      </c>
      <c r="B47" s="1">
        <v>0.571428571428571</v>
      </c>
    </row>
    <row r="48">
      <c r="A48" s="1" t="s">
        <v>117</v>
      </c>
      <c r="B48" s="1">
        <v>1.0</v>
      </c>
    </row>
    <row r="49">
      <c r="A49" s="1" t="s">
        <v>64</v>
      </c>
      <c r="B49" s="1">
        <v>0.0</v>
      </c>
    </row>
    <row r="50">
      <c r="A50" s="1" t="s">
        <v>36</v>
      </c>
      <c r="B50" s="1">
        <v>0.333333333333333</v>
      </c>
    </row>
    <row r="51">
      <c r="A51" s="1" t="s">
        <v>49</v>
      </c>
      <c r="B51" s="1">
        <v>1.0</v>
      </c>
    </row>
    <row r="52">
      <c r="A52" s="1" t="s">
        <v>132</v>
      </c>
      <c r="B52" s="1">
        <v>0.769230769230769</v>
      </c>
    </row>
    <row r="53">
      <c r="A53" s="1" t="s">
        <v>45</v>
      </c>
      <c r="B53" s="1">
        <v>0.125</v>
      </c>
    </row>
    <row r="54">
      <c r="A54" s="1" t="s">
        <v>128</v>
      </c>
      <c r="B54" s="1">
        <v>0.5</v>
      </c>
    </row>
    <row r="55">
      <c r="A55" s="1" t="s">
        <v>57</v>
      </c>
      <c r="B55" s="1">
        <v>0.7</v>
      </c>
    </row>
    <row r="56">
      <c r="A56" s="1" t="s">
        <v>127</v>
      </c>
      <c r="B56" s="1">
        <v>0.571428571428571</v>
      </c>
    </row>
    <row r="57">
      <c r="A57" s="1" t="s">
        <v>58</v>
      </c>
      <c r="B57" s="1">
        <v>0.166666666666666</v>
      </c>
    </row>
    <row r="58">
      <c r="A58" s="1" t="s">
        <v>85</v>
      </c>
      <c r="B58" s="1">
        <v>0.5</v>
      </c>
    </row>
    <row r="59">
      <c r="A59" s="1" t="s">
        <v>54</v>
      </c>
      <c r="B59" s="1">
        <v>0.0</v>
      </c>
    </row>
    <row r="60">
      <c r="A60" s="1" t="s">
        <v>121</v>
      </c>
      <c r="B60" s="1">
        <v>0.75</v>
      </c>
    </row>
    <row r="61">
      <c r="A61" s="1" t="s">
        <v>70</v>
      </c>
      <c r="B61" s="1">
        <v>0.208333333333333</v>
      </c>
    </row>
    <row r="62">
      <c r="A62" s="1" t="s">
        <v>37</v>
      </c>
      <c r="B62" s="1">
        <v>1.0</v>
      </c>
    </row>
    <row r="63">
      <c r="A63" s="1" t="s">
        <v>35</v>
      </c>
      <c r="B63" s="1">
        <v>0.583333333333333</v>
      </c>
    </row>
    <row r="64">
      <c r="A64" s="1" t="s">
        <v>44</v>
      </c>
      <c r="B64" s="1">
        <v>0.0</v>
      </c>
    </row>
    <row r="65">
      <c r="A65" s="1" t="s">
        <v>91</v>
      </c>
      <c r="B65" s="1">
        <v>0.0</v>
      </c>
    </row>
    <row r="66">
      <c r="A66" s="1" t="s">
        <v>50</v>
      </c>
      <c r="B66" s="1">
        <v>0.578947368421052</v>
      </c>
    </row>
    <row r="67">
      <c r="A67" s="1" t="s">
        <v>84</v>
      </c>
      <c r="B67" s="1">
        <v>0.666666666666666</v>
      </c>
    </row>
    <row r="68">
      <c r="A68" s="1" t="s">
        <v>136</v>
      </c>
      <c r="B68" s="1">
        <v>0.0</v>
      </c>
    </row>
    <row r="69">
      <c r="A69" s="1" t="s">
        <v>130</v>
      </c>
      <c r="B69" s="1">
        <v>1.0</v>
      </c>
    </row>
    <row r="70">
      <c r="A70" s="1" t="s">
        <v>112</v>
      </c>
      <c r="B70" s="1">
        <v>0.75</v>
      </c>
    </row>
    <row r="71">
      <c r="A71" s="1" t="s">
        <v>97</v>
      </c>
      <c r="B71" s="1">
        <v>0.263157894736842</v>
      </c>
    </row>
    <row r="72">
      <c r="A72" s="1" t="s">
        <v>53</v>
      </c>
      <c r="B72" s="1">
        <v>0.0</v>
      </c>
    </row>
    <row r="73">
      <c r="A73" s="1" t="s">
        <v>82</v>
      </c>
      <c r="B73" s="1">
        <v>1.0</v>
      </c>
    </row>
    <row r="74">
      <c r="A74" s="1" t="s">
        <v>131</v>
      </c>
      <c r="B74" s="1">
        <v>0.625</v>
      </c>
    </row>
    <row r="75">
      <c r="A75" s="1" t="s">
        <v>119</v>
      </c>
      <c r="B75" s="1">
        <v>0.428571428571428</v>
      </c>
    </row>
    <row r="76">
      <c r="A76" s="1" t="s">
        <v>33</v>
      </c>
      <c r="B76" s="1">
        <v>0.0769230769230769</v>
      </c>
    </row>
    <row r="77">
      <c r="A77" s="1" t="s">
        <v>124</v>
      </c>
      <c r="B77" s="1">
        <v>0.666666666666666</v>
      </c>
    </row>
    <row r="78">
      <c r="A78" s="1" t="s">
        <v>38</v>
      </c>
      <c r="B78" s="1">
        <v>0.333333333333333</v>
      </c>
    </row>
    <row r="79">
      <c r="A79" s="1" t="s">
        <v>65</v>
      </c>
      <c r="B79" s="1">
        <v>0.8</v>
      </c>
    </row>
    <row r="80">
      <c r="A80" s="1" t="s">
        <v>43</v>
      </c>
      <c r="B80" s="1">
        <v>0.0</v>
      </c>
    </row>
    <row r="81">
      <c r="A81" s="1" t="s">
        <v>93</v>
      </c>
      <c r="B81" s="1">
        <v>0.4</v>
      </c>
    </row>
    <row r="82">
      <c r="A82" s="1" t="s">
        <v>103</v>
      </c>
      <c r="B82" s="1">
        <v>0.142857142857142</v>
      </c>
    </row>
    <row r="83">
      <c r="A83" s="1" t="s">
        <v>31</v>
      </c>
      <c r="B83" s="1">
        <v>0.666666666666666</v>
      </c>
    </row>
    <row r="84">
      <c r="A84" s="1" t="s">
        <v>73</v>
      </c>
      <c r="B84" s="1">
        <v>0.384615384615384</v>
      </c>
    </row>
    <row r="85">
      <c r="A85" s="1" t="s">
        <v>42</v>
      </c>
      <c r="B85" s="1">
        <v>0.416666666666666</v>
      </c>
    </row>
    <row r="86">
      <c r="A86" s="1" t="s">
        <v>99</v>
      </c>
      <c r="B86" s="1">
        <v>0.25</v>
      </c>
    </row>
    <row r="87">
      <c r="A87" s="1" t="s">
        <v>109</v>
      </c>
      <c r="B87" s="1">
        <v>0.272727272727272</v>
      </c>
    </row>
    <row r="88">
      <c r="A88" s="1" t="s">
        <v>30</v>
      </c>
      <c r="B88" s="1">
        <v>0.304347826086956</v>
      </c>
    </row>
    <row r="89">
      <c r="A89" s="1" t="s">
        <v>66</v>
      </c>
      <c r="B89" s="1">
        <v>0.5</v>
      </c>
    </row>
    <row r="90">
      <c r="A90" s="1" t="s">
        <v>68</v>
      </c>
      <c r="B90" s="1">
        <v>0.5</v>
      </c>
    </row>
    <row r="91">
      <c r="A91" s="1" t="s">
        <v>74</v>
      </c>
      <c r="B91" s="1">
        <v>0.0</v>
      </c>
    </row>
    <row r="92">
      <c r="A92" s="1" t="s">
        <v>123</v>
      </c>
      <c r="B92" s="1">
        <v>0.647058823529411</v>
      </c>
    </row>
    <row r="93">
      <c r="A93" s="1" t="s">
        <v>90</v>
      </c>
      <c r="B93" s="1">
        <v>0.318181818181818</v>
      </c>
    </row>
    <row r="94">
      <c r="A94" s="1" t="s">
        <v>40</v>
      </c>
      <c r="B94" s="1">
        <v>0.25</v>
      </c>
    </row>
    <row r="95">
      <c r="A95" s="1" t="s">
        <v>52</v>
      </c>
      <c r="B95" s="1">
        <v>0.75</v>
      </c>
    </row>
    <row r="96">
      <c r="A96" s="1" t="s">
        <v>107</v>
      </c>
      <c r="B96" s="1">
        <v>0.866666666666666</v>
      </c>
    </row>
    <row r="97">
      <c r="A97" s="1" t="s">
        <v>105</v>
      </c>
      <c r="B97" s="1">
        <v>0.0</v>
      </c>
    </row>
    <row r="98">
      <c r="A98" s="1" t="s">
        <v>47</v>
      </c>
      <c r="B98" s="1">
        <v>0.0</v>
      </c>
    </row>
    <row r="99">
      <c r="A99" s="1" t="s">
        <v>98</v>
      </c>
      <c r="B99" s="1">
        <v>0.666666666666666</v>
      </c>
    </row>
    <row r="100">
      <c r="A100" s="1" t="s">
        <v>92</v>
      </c>
      <c r="B100" s="1">
        <v>0.0</v>
      </c>
    </row>
    <row r="101">
      <c r="A101" s="1" t="s">
        <v>62</v>
      </c>
      <c r="B101" s="1">
        <v>1.0</v>
      </c>
    </row>
    <row r="102">
      <c r="A102" s="1" t="s">
        <v>61</v>
      </c>
      <c r="B102" s="1">
        <v>0.214285714285714</v>
      </c>
    </row>
    <row r="103">
      <c r="A103" s="1" t="s">
        <v>101</v>
      </c>
      <c r="B103" s="1">
        <v>0.0</v>
      </c>
    </row>
    <row r="104">
      <c r="A104" s="1" t="s">
        <v>106</v>
      </c>
      <c r="B104" s="1">
        <v>0.4</v>
      </c>
    </row>
    <row r="105">
      <c r="A105" s="1" t="s">
        <v>89</v>
      </c>
      <c r="B105" s="1">
        <v>1.0</v>
      </c>
    </row>
    <row r="106">
      <c r="A106" s="1" t="s">
        <v>75</v>
      </c>
      <c r="B106" s="1">
        <v>0.636363636363636</v>
      </c>
    </row>
    <row r="107">
      <c r="A107" s="1" t="s">
        <v>114</v>
      </c>
      <c r="B107" s="1">
        <v>0.666666666666666</v>
      </c>
    </row>
    <row r="108">
      <c r="A108" s="1" t="s">
        <v>59</v>
      </c>
      <c r="B108" s="1">
        <v>0.5</v>
      </c>
    </row>
    <row r="109">
      <c r="A109" s="1" t="s">
        <v>125</v>
      </c>
      <c r="B109" s="1">
        <v>0.272727272727272</v>
      </c>
    </row>
    <row r="110">
      <c r="A110" s="1" t="s">
        <v>51</v>
      </c>
      <c r="B110" s="1">
        <v>1.0</v>
      </c>
    </row>
    <row r="111">
      <c r="A111" s="1" t="s">
        <v>72</v>
      </c>
      <c r="B111" s="1">
        <v>0.833333333333333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</row>
    <row r="2">
      <c r="A2" s="1" t="s">
        <v>79</v>
      </c>
      <c r="B2" s="21">
        <v>0.0</v>
      </c>
    </row>
    <row r="3">
      <c r="A3" s="1" t="s">
        <v>60</v>
      </c>
      <c r="B3" s="21">
        <v>0.5625</v>
      </c>
    </row>
    <row r="4">
      <c r="A4" s="1" t="s">
        <v>48</v>
      </c>
      <c r="B4" s="21">
        <v>0.02272727</v>
      </c>
    </row>
    <row r="5">
      <c r="A5" s="1" t="s">
        <v>69</v>
      </c>
      <c r="B5" s="21">
        <v>0.0625</v>
      </c>
    </row>
    <row r="6">
      <c r="A6" s="1" t="s">
        <v>32</v>
      </c>
      <c r="B6" s="21">
        <v>0.0</v>
      </c>
    </row>
    <row r="7">
      <c r="A7" s="1" t="s">
        <v>71</v>
      </c>
      <c r="B7" s="21">
        <v>0.0</v>
      </c>
    </row>
    <row r="8">
      <c r="A8" s="1" t="s">
        <v>46</v>
      </c>
      <c r="B8" s="21">
        <v>0.0</v>
      </c>
    </row>
    <row r="9">
      <c r="A9" s="1" t="s">
        <v>111</v>
      </c>
      <c r="B9" s="21">
        <v>0.42777778</v>
      </c>
    </row>
    <row r="10">
      <c r="A10" s="1" t="s">
        <v>205</v>
      </c>
      <c r="B10" s="21">
        <v>0.61871025</v>
      </c>
    </row>
    <row r="11">
      <c r="A11" s="1" t="s">
        <v>135</v>
      </c>
      <c r="B11" s="21">
        <v>0.16666667</v>
      </c>
    </row>
    <row r="12">
      <c r="A12" s="1" t="s">
        <v>95</v>
      </c>
      <c r="B12" s="21">
        <v>0.07142857</v>
      </c>
    </row>
    <row r="13">
      <c r="A13" s="1" t="s">
        <v>63</v>
      </c>
      <c r="B13" s="21">
        <v>0.16666667</v>
      </c>
    </row>
    <row r="14">
      <c r="A14" s="1" t="s">
        <v>86</v>
      </c>
      <c r="B14" s="21">
        <v>0.46180556</v>
      </c>
    </row>
    <row r="15">
      <c r="A15" s="1" t="s">
        <v>116</v>
      </c>
      <c r="B15" s="21">
        <v>0.0</v>
      </c>
    </row>
    <row r="16">
      <c r="A16" s="1" t="s">
        <v>96</v>
      </c>
      <c r="B16" s="21">
        <v>0.28125</v>
      </c>
    </row>
    <row r="17">
      <c r="A17" s="1" t="s">
        <v>110</v>
      </c>
      <c r="B17" s="21">
        <v>0.386</v>
      </c>
    </row>
    <row r="18">
      <c r="A18" s="1" t="s">
        <v>120</v>
      </c>
      <c r="B18" s="21">
        <v>0.0</v>
      </c>
    </row>
    <row r="19">
      <c r="A19" s="1" t="s">
        <v>77</v>
      </c>
      <c r="B19" s="21">
        <v>0.0</v>
      </c>
    </row>
    <row r="20">
      <c r="A20" s="1" t="s">
        <v>94</v>
      </c>
      <c r="B20" s="21">
        <v>0.20289855</v>
      </c>
    </row>
    <row r="21">
      <c r="A21" s="1" t="s">
        <v>87</v>
      </c>
      <c r="B21" s="21">
        <v>0.1</v>
      </c>
    </row>
    <row r="22">
      <c r="A22" s="1" t="s">
        <v>29</v>
      </c>
      <c r="B22" s="21">
        <v>0.16666667</v>
      </c>
    </row>
    <row r="23">
      <c r="A23" s="1" t="s">
        <v>129</v>
      </c>
      <c r="B23" s="21">
        <v>0.0</v>
      </c>
    </row>
    <row r="24">
      <c r="A24" s="1" t="s">
        <v>100</v>
      </c>
      <c r="B24" s="21">
        <v>0.8</v>
      </c>
    </row>
    <row r="25">
      <c r="A25" s="1" t="s">
        <v>122</v>
      </c>
      <c r="B25" s="21">
        <v>0.1375</v>
      </c>
    </row>
    <row r="26">
      <c r="A26" s="1" t="s">
        <v>137</v>
      </c>
      <c r="B26" s="21">
        <v>0.1</v>
      </c>
    </row>
    <row r="27">
      <c r="A27" s="1" t="s">
        <v>118</v>
      </c>
      <c r="B27" s="21">
        <v>0.0</v>
      </c>
    </row>
    <row r="28">
      <c r="A28" s="1" t="s">
        <v>115</v>
      </c>
      <c r="B28" s="21">
        <v>0.1</v>
      </c>
    </row>
    <row r="29">
      <c r="A29" s="1" t="s">
        <v>76</v>
      </c>
      <c r="B29" s="21">
        <v>0.58547009</v>
      </c>
    </row>
    <row r="30">
      <c r="A30" s="1" t="s">
        <v>88</v>
      </c>
      <c r="B30" s="21">
        <v>0.125</v>
      </c>
    </row>
    <row r="31">
      <c r="A31" s="1" t="s">
        <v>41</v>
      </c>
      <c r="B31" s="21">
        <v>0.59075224</v>
      </c>
    </row>
    <row r="32">
      <c r="A32" s="1" t="s">
        <v>104</v>
      </c>
      <c r="B32" s="21">
        <v>0.25</v>
      </c>
    </row>
    <row r="33">
      <c r="A33" s="1" t="s">
        <v>133</v>
      </c>
      <c r="B33" s="21">
        <v>0.72299465</v>
      </c>
    </row>
    <row r="34">
      <c r="A34" s="1" t="s">
        <v>67</v>
      </c>
      <c r="B34" s="21">
        <v>0.51855263</v>
      </c>
    </row>
    <row r="35">
      <c r="A35" s="1" t="s">
        <v>108</v>
      </c>
      <c r="B35" s="21">
        <v>0.75</v>
      </c>
    </row>
    <row r="36">
      <c r="A36" s="1" t="s">
        <v>39</v>
      </c>
      <c r="B36" s="21">
        <v>0.140625</v>
      </c>
    </row>
    <row r="37">
      <c r="A37" s="1" t="s">
        <v>56</v>
      </c>
      <c r="B37" s="21">
        <v>0.18055556</v>
      </c>
    </row>
    <row r="38">
      <c r="A38" s="1" t="s">
        <v>55</v>
      </c>
      <c r="B38" s="21">
        <v>0.0</v>
      </c>
    </row>
    <row r="39">
      <c r="A39" s="1" t="s">
        <v>78</v>
      </c>
      <c r="B39" s="21">
        <v>0.02777778</v>
      </c>
    </row>
    <row r="40">
      <c r="A40" s="1" t="s">
        <v>83</v>
      </c>
      <c r="B40" s="21">
        <v>0.0</v>
      </c>
    </row>
    <row r="41">
      <c r="A41" s="1" t="s">
        <v>34</v>
      </c>
      <c r="B41" s="21">
        <v>0.0</v>
      </c>
    </row>
    <row r="42">
      <c r="A42" s="1" t="s">
        <v>134</v>
      </c>
      <c r="B42" s="21">
        <v>0.125</v>
      </c>
    </row>
    <row r="43">
      <c r="A43" s="1" t="s">
        <v>81</v>
      </c>
      <c r="B43" s="21">
        <v>0.125</v>
      </c>
    </row>
    <row r="44">
      <c r="A44" s="1" t="s">
        <v>80</v>
      </c>
      <c r="B44" s="21">
        <v>0.16666667</v>
      </c>
    </row>
    <row r="45">
      <c r="A45" s="1" t="s">
        <v>113</v>
      </c>
      <c r="B45" s="21">
        <v>0.63061224</v>
      </c>
    </row>
    <row r="46">
      <c r="A46" s="1" t="s">
        <v>126</v>
      </c>
      <c r="B46" s="21">
        <v>0.765625</v>
      </c>
    </row>
    <row r="47">
      <c r="A47" s="1" t="s">
        <v>102</v>
      </c>
      <c r="B47" s="21">
        <v>0.45714286</v>
      </c>
    </row>
    <row r="48">
      <c r="A48" s="1" t="s">
        <v>117</v>
      </c>
      <c r="B48" s="21">
        <v>0.92307692</v>
      </c>
    </row>
    <row r="49">
      <c r="A49" s="1" t="s">
        <v>64</v>
      </c>
      <c r="B49" s="21">
        <v>0.0</v>
      </c>
    </row>
    <row r="50">
      <c r="A50" s="1" t="s">
        <v>36</v>
      </c>
      <c r="B50" s="21">
        <v>0.22222222</v>
      </c>
    </row>
    <row r="51">
      <c r="A51" s="1" t="s">
        <v>49</v>
      </c>
      <c r="B51" s="21">
        <v>0.93333333</v>
      </c>
    </row>
    <row r="52">
      <c r="A52" s="1" t="s">
        <v>132</v>
      </c>
      <c r="B52" s="21">
        <v>0.6993007</v>
      </c>
    </row>
    <row r="53">
      <c r="A53" s="1" t="s">
        <v>45</v>
      </c>
      <c r="B53" s="21">
        <v>0.0625</v>
      </c>
    </row>
    <row r="54">
      <c r="A54" s="1" t="s">
        <v>128</v>
      </c>
      <c r="B54" s="21">
        <v>0.4</v>
      </c>
    </row>
    <row r="55">
      <c r="A55" s="1" t="s">
        <v>57</v>
      </c>
      <c r="B55" s="21">
        <v>0.6125</v>
      </c>
    </row>
    <row r="56">
      <c r="A56" s="1" t="s">
        <v>127</v>
      </c>
      <c r="B56" s="21">
        <v>0.45714286</v>
      </c>
    </row>
    <row r="57">
      <c r="A57" s="1" t="s">
        <v>58</v>
      </c>
      <c r="B57" s="21">
        <v>0.11111111</v>
      </c>
    </row>
    <row r="58">
      <c r="A58" s="1" t="s">
        <v>85</v>
      </c>
      <c r="B58" s="21">
        <v>0.25</v>
      </c>
    </row>
    <row r="59">
      <c r="A59" s="1" t="s">
        <v>54</v>
      </c>
      <c r="B59" s="21">
        <v>0.0</v>
      </c>
    </row>
    <row r="60">
      <c r="A60" s="1" t="s">
        <v>121</v>
      </c>
      <c r="B60" s="21">
        <v>0.64444444</v>
      </c>
    </row>
    <row r="61">
      <c r="A61" s="1" t="s">
        <v>70</v>
      </c>
      <c r="B61" s="21">
        <v>0.13541667</v>
      </c>
    </row>
    <row r="62">
      <c r="A62" s="1" t="s">
        <v>37</v>
      </c>
      <c r="B62" s="21">
        <v>0.83333333</v>
      </c>
    </row>
    <row r="63">
      <c r="A63" s="1" t="s">
        <v>35</v>
      </c>
      <c r="B63" s="21">
        <v>0.51041667</v>
      </c>
    </row>
    <row r="64">
      <c r="A64" s="1" t="s">
        <v>44</v>
      </c>
      <c r="B64" s="21">
        <v>0.0</v>
      </c>
    </row>
    <row r="65">
      <c r="A65" s="1" t="s">
        <v>91</v>
      </c>
      <c r="B65" s="21">
        <v>0.0</v>
      </c>
    </row>
    <row r="66">
      <c r="A66" s="1" t="s">
        <v>50</v>
      </c>
      <c r="B66" s="21">
        <v>0.49649123</v>
      </c>
    </row>
    <row r="67">
      <c r="A67" s="1" t="s">
        <v>84</v>
      </c>
      <c r="B67" s="21">
        <v>0.57142857</v>
      </c>
    </row>
    <row r="68">
      <c r="A68" s="1" t="s">
        <v>136</v>
      </c>
      <c r="B68" s="21">
        <v>0.0</v>
      </c>
    </row>
    <row r="69">
      <c r="A69" s="1" t="s">
        <v>130</v>
      </c>
      <c r="B69" s="21">
        <v>0.85714286</v>
      </c>
    </row>
    <row r="70">
      <c r="A70" s="1" t="s">
        <v>112</v>
      </c>
      <c r="B70" s="21">
        <v>0.5625</v>
      </c>
    </row>
    <row r="71">
      <c r="A71" s="1" t="s">
        <v>97</v>
      </c>
      <c r="B71" s="21">
        <v>0.19473684</v>
      </c>
    </row>
    <row r="72">
      <c r="A72" s="1" t="s">
        <v>53</v>
      </c>
      <c r="B72" s="21">
        <v>0.0</v>
      </c>
    </row>
    <row r="73">
      <c r="A73" s="1" t="s">
        <v>82</v>
      </c>
      <c r="B73" s="21">
        <v>0.75</v>
      </c>
    </row>
    <row r="74">
      <c r="A74" s="1" t="s">
        <v>131</v>
      </c>
      <c r="B74" s="21">
        <v>0.52083333</v>
      </c>
    </row>
    <row r="75">
      <c r="A75" s="1" t="s">
        <v>119</v>
      </c>
      <c r="B75" s="21">
        <v>0.21428571</v>
      </c>
    </row>
    <row r="76">
      <c r="A76" s="1" t="s">
        <v>33</v>
      </c>
      <c r="B76" s="21">
        <v>0.03846154</v>
      </c>
    </row>
    <row r="77">
      <c r="A77" s="1" t="s">
        <v>124</v>
      </c>
      <c r="B77" s="21">
        <v>0.44444444</v>
      </c>
    </row>
    <row r="78">
      <c r="A78" s="1" t="s">
        <v>38</v>
      </c>
      <c r="B78" s="21">
        <v>0.16666667</v>
      </c>
    </row>
    <row r="79">
      <c r="A79" s="1" t="s">
        <v>65</v>
      </c>
      <c r="B79" s="21">
        <v>0.53333333</v>
      </c>
    </row>
    <row r="80">
      <c r="A80" s="1" t="s">
        <v>43</v>
      </c>
      <c r="B80" s="21">
        <v>0.0</v>
      </c>
    </row>
    <row r="81">
      <c r="A81" s="1" t="s">
        <v>93</v>
      </c>
      <c r="B81" s="21">
        <v>0.26666667</v>
      </c>
    </row>
    <row r="82">
      <c r="A82" s="1" t="s">
        <v>103</v>
      </c>
      <c r="B82" s="21">
        <v>0.07142857</v>
      </c>
    </row>
    <row r="83">
      <c r="A83" s="1" t="s">
        <v>31</v>
      </c>
      <c r="B83" s="21">
        <v>0.5037037</v>
      </c>
    </row>
    <row r="84">
      <c r="A84" s="1" t="s">
        <v>73</v>
      </c>
      <c r="B84" s="21">
        <v>0.29326923</v>
      </c>
    </row>
    <row r="85">
      <c r="A85" s="1" t="s">
        <v>42</v>
      </c>
      <c r="B85" s="21">
        <v>0.29861111</v>
      </c>
    </row>
    <row r="86">
      <c r="A86" s="1" t="s">
        <v>99</v>
      </c>
      <c r="B86" s="21">
        <v>0.125</v>
      </c>
    </row>
    <row r="87">
      <c r="A87" s="1" t="s">
        <v>109</v>
      </c>
      <c r="B87" s="21">
        <v>0.16666667</v>
      </c>
    </row>
    <row r="88">
      <c r="A88" s="1" t="s">
        <v>30</v>
      </c>
      <c r="B88" s="21">
        <v>0.2173913</v>
      </c>
    </row>
    <row r="89">
      <c r="A89" s="1" t="s">
        <v>66</v>
      </c>
      <c r="B89" s="21">
        <v>0.33333333</v>
      </c>
    </row>
    <row r="90">
      <c r="A90" s="1" t="s">
        <v>68</v>
      </c>
      <c r="B90" s="21">
        <v>0.25</v>
      </c>
    </row>
    <row r="91">
      <c r="A91" s="1" t="s">
        <v>74</v>
      </c>
      <c r="B91" s="21">
        <v>0.0</v>
      </c>
    </row>
    <row r="92">
      <c r="A92" s="1" t="s">
        <v>123</v>
      </c>
      <c r="B92" s="21">
        <v>0.59313725</v>
      </c>
    </row>
    <row r="93">
      <c r="A93" s="1" t="s">
        <v>90</v>
      </c>
      <c r="B93" s="21">
        <v>0.25649351</v>
      </c>
    </row>
    <row r="94">
      <c r="A94" s="1" t="s">
        <v>40</v>
      </c>
      <c r="B94" s="21">
        <v>0.125</v>
      </c>
    </row>
    <row r="95">
      <c r="A95" s="1" t="s">
        <v>52</v>
      </c>
      <c r="B95" s="21">
        <v>0.61607143</v>
      </c>
    </row>
    <row r="96">
      <c r="A96" s="1" t="s">
        <v>107</v>
      </c>
      <c r="B96" s="21">
        <v>0.78175439</v>
      </c>
    </row>
    <row r="97">
      <c r="A97" s="1" t="s">
        <v>105</v>
      </c>
      <c r="B97" s="21">
        <v>0.0</v>
      </c>
    </row>
    <row r="98">
      <c r="A98" s="1" t="s">
        <v>47</v>
      </c>
      <c r="B98" s="21">
        <v>0.0</v>
      </c>
    </row>
    <row r="99">
      <c r="A99" s="1" t="s">
        <v>98</v>
      </c>
      <c r="B99" s="21">
        <v>0.44444444</v>
      </c>
    </row>
    <row r="100">
      <c r="A100" s="1" t="s">
        <v>92</v>
      </c>
      <c r="B100" s="21">
        <v>0.0</v>
      </c>
    </row>
    <row r="101">
      <c r="A101" s="1" t="s">
        <v>62</v>
      </c>
      <c r="B101" s="21">
        <v>0.83333333</v>
      </c>
    </row>
    <row r="102">
      <c r="A102" s="1" t="s">
        <v>61</v>
      </c>
      <c r="B102" s="21">
        <v>0.16190476</v>
      </c>
    </row>
    <row r="103">
      <c r="A103" s="1" t="s">
        <v>101</v>
      </c>
      <c r="B103" s="21">
        <v>0.0</v>
      </c>
    </row>
    <row r="104">
      <c r="A104" s="1" t="s">
        <v>106</v>
      </c>
      <c r="B104" s="21">
        <v>0.26666667</v>
      </c>
    </row>
    <row r="105">
      <c r="A105" s="1" t="s">
        <v>89</v>
      </c>
      <c r="B105" s="21">
        <v>0.86675824</v>
      </c>
    </row>
    <row r="106">
      <c r="A106" s="1" t="s">
        <v>75</v>
      </c>
      <c r="B106" s="21">
        <v>0.5004329</v>
      </c>
    </row>
    <row r="107">
      <c r="A107" s="1" t="s">
        <v>114</v>
      </c>
      <c r="B107" s="21">
        <v>0.54497354</v>
      </c>
    </row>
    <row r="108">
      <c r="A108" s="1" t="s">
        <v>59</v>
      </c>
      <c r="B108" s="21">
        <v>0.34027778</v>
      </c>
    </row>
    <row r="109">
      <c r="A109" s="1" t="s">
        <v>125</v>
      </c>
      <c r="B109" s="21">
        <v>0.16666667</v>
      </c>
    </row>
    <row r="110">
      <c r="A110" s="1" t="s">
        <v>51</v>
      </c>
      <c r="B110" s="21">
        <v>0.90909091</v>
      </c>
    </row>
    <row r="111">
      <c r="A111" s="1" t="s">
        <v>72</v>
      </c>
      <c r="B111" s="21">
        <v>0.69444444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969</v>
      </c>
    </row>
    <row r="2">
      <c r="A2" s="1" t="s">
        <v>79</v>
      </c>
      <c r="B2" s="21">
        <v>4.0</v>
      </c>
    </row>
    <row r="3">
      <c r="A3" s="1" t="s">
        <v>180</v>
      </c>
      <c r="B3" s="21">
        <v>1.0</v>
      </c>
    </row>
    <row r="4">
      <c r="A4" s="1" t="s">
        <v>60</v>
      </c>
      <c r="B4" s="21">
        <v>5.0</v>
      </c>
    </row>
    <row r="5">
      <c r="A5" s="1" t="s">
        <v>48</v>
      </c>
      <c r="B5" s="21">
        <v>29.0</v>
      </c>
    </row>
    <row r="6">
      <c r="A6" s="1" t="s">
        <v>69</v>
      </c>
      <c r="B6" s="21">
        <v>16.0</v>
      </c>
    </row>
    <row r="7">
      <c r="A7" s="1" t="s">
        <v>32</v>
      </c>
      <c r="B7" s="21">
        <v>4.0</v>
      </c>
    </row>
    <row r="8">
      <c r="A8" s="1" t="s">
        <v>71</v>
      </c>
      <c r="B8" s="21">
        <v>15.0</v>
      </c>
    </row>
    <row r="9">
      <c r="A9" s="1" t="s">
        <v>46</v>
      </c>
      <c r="B9" s="21">
        <v>18.0</v>
      </c>
    </row>
    <row r="10">
      <c r="A10" s="1" t="s">
        <v>111</v>
      </c>
      <c r="B10" s="21">
        <v>17.0</v>
      </c>
    </row>
    <row r="11">
      <c r="A11" s="1" t="s">
        <v>205</v>
      </c>
      <c r="B11" s="21">
        <v>59.0</v>
      </c>
    </row>
    <row r="12">
      <c r="A12" s="1" t="s">
        <v>135</v>
      </c>
      <c r="B12" s="21">
        <v>10.0</v>
      </c>
    </row>
    <row r="13">
      <c r="A13" s="1" t="s">
        <v>212</v>
      </c>
      <c r="B13" s="21">
        <v>1.0</v>
      </c>
    </row>
    <row r="14">
      <c r="A14" s="1" t="s">
        <v>216</v>
      </c>
      <c r="B14" s="21">
        <v>2.0</v>
      </c>
    </row>
    <row r="15">
      <c r="A15" s="1" t="s">
        <v>95</v>
      </c>
      <c r="B15" s="21">
        <v>13.0</v>
      </c>
    </row>
    <row r="16">
      <c r="A16" s="1" t="s">
        <v>63</v>
      </c>
      <c r="B16" s="21">
        <v>18.0</v>
      </c>
    </row>
    <row r="17">
      <c r="A17" s="1" t="s">
        <v>86</v>
      </c>
      <c r="B17" s="21">
        <v>32.0</v>
      </c>
    </row>
    <row r="18">
      <c r="A18" s="1" t="s">
        <v>116</v>
      </c>
      <c r="B18" s="21">
        <v>14.0</v>
      </c>
    </row>
    <row r="19">
      <c r="A19" s="1" t="s">
        <v>96</v>
      </c>
      <c r="B19" s="21">
        <v>17.0</v>
      </c>
    </row>
    <row r="20">
      <c r="A20" s="1" t="s">
        <v>235</v>
      </c>
      <c r="B20" s="21">
        <v>1.0</v>
      </c>
    </row>
    <row r="21">
      <c r="A21" s="1" t="s">
        <v>110</v>
      </c>
      <c r="B21" s="21">
        <v>30.0</v>
      </c>
    </row>
    <row r="22">
      <c r="A22" s="1" t="s">
        <v>120</v>
      </c>
      <c r="B22" s="21">
        <v>17.0</v>
      </c>
    </row>
    <row r="23">
      <c r="A23" s="1" t="s">
        <v>77</v>
      </c>
      <c r="B23" s="21">
        <v>11.0</v>
      </c>
    </row>
    <row r="24">
      <c r="A24" s="1" t="s">
        <v>94</v>
      </c>
      <c r="B24" s="21">
        <v>26.0</v>
      </c>
    </row>
    <row r="25">
      <c r="A25" s="1" t="s">
        <v>87</v>
      </c>
      <c r="B25" s="21">
        <v>9.0</v>
      </c>
    </row>
    <row r="26">
      <c r="A26" s="1" t="s">
        <v>29</v>
      </c>
      <c r="B26" s="21">
        <v>5.0</v>
      </c>
    </row>
    <row r="27">
      <c r="A27" s="1" t="s">
        <v>257</v>
      </c>
      <c r="B27" s="21">
        <v>1.0</v>
      </c>
    </row>
    <row r="28">
      <c r="A28" s="1" t="s">
        <v>129</v>
      </c>
      <c r="B28" s="21">
        <v>5.0</v>
      </c>
    </row>
    <row r="29">
      <c r="A29" s="1" t="s">
        <v>100</v>
      </c>
      <c r="B29" s="21">
        <v>5.0</v>
      </c>
    </row>
    <row r="30">
      <c r="A30" s="1" t="s">
        <v>122</v>
      </c>
      <c r="B30" s="21">
        <v>30.0</v>
      </c>
    </row>
    <row r="31">
      <c r="A31" s="1" t="s">
        <v>137</v>
      </c>
      <c r="B31" s="21">
        <v>6.0</v>
      </c>
    </row>
    <row r="32">
      <c r="A32" s="1" t="s">
        <v>118</v>
      </c>
      <c r="B32" s="21">
        <v>6.0</v>
      </c>
    </row>
    <row r="33">
      <c r="A33" s="1" t="s">
        <v>276</v>
      </c>
      <c r="B33" s="21">
        <v>2.0</v>
      </c>
    </row>
    <row r="34">
      <c r="A34" s="1" t="s">
        <v>115</v>
      </c>
      <c r="B34" s="21">
        <v>6.0</v>
      </c>
    </row>
    <row r="35">
      <c r="A35" s="1" t="s">
        <v>76</v>
      </c>
      <c r="B35" s="21">
        <v>15.0</v>
      </c>
    </row>
    <row r="36">
      <c r="A36" s="1" t="s">
        <v>88</v>
      </c>
      <c r="B36" s="21">
        <v>7.0</v>
      </c>
    </row>
    <row r="37">
      <c r="A37" s="1" t="s">
        <v>41</v>
      </c>
      <c r="B37" s="21">
        <v>29.0</v>
      </c>
    </row>
    <row r="38">
      <c r="A38" s="1" t="s">
        <v>104</v>
      </c>
      <c r="B38" s="21">
        <v>27.0</v>
      </c>
    </row>
    <row r="39">
      <c r="A39" s="1" t="s">
        <v>295</v>
      </c>
      <c r="B39" s="21">
        <v>1.0</v>
      </c>
    </row>
    <row r="40">
      <c r="A40" s="1" t="s">
        <v>299</v>
      </c>
      <c r="B40" s="21">
        <v>1.0</v>
      </c>
    </row>
    <row r="41">
      <c r="A41" s="1" t="s">
        <v>133</v>
      </c>
      <c r="B41" s="21">
        <v>20.0</v>
      </c>
    </row>
    <row r="42">
      <c r="A42" s="1" t="s">
        <v>306</v>
      </c>
      <c r="B42" s="21">
        <v>1.0</v>
      </c>
    </row>
    <row r="43">
      <c r="A43" s="1" t="s">
        <v>67</v>
      </c>
      <c r="B43" s="21">
        <v>60.0</v>
      </c>
    </row>
    <row r="44">
      <c r="A44" s="1" t="s">
        <v>108</v>
      </c>
      <c r="B44" s="21">
        <v>4.0</v>
      </c>
    </row>
    <row r="45">
      <c r="A45" s="1" t="s">
        <v>316</v>
      </c>
      <c r="B45" s="21">
        <v>2.0</v>
      </c>
    </row>
    <row r="46">
      <c r="A46" s="1" t="s">
        <v>39</v>
      </c>
      <c r="B46" s="21">
        <v>23.0</v>
      </c>
    </row>
    <row r="47">
      <c r="A47" s="1" t="s">
        <v>56</v>
      </c>
      <c r="B47" s="21">
        <v>25.0</v>
      </c>
    </row>
    <row r="48">
      <c r="A48" s="1" t="s">
        <v>55</v>
      </c>
      <c r="B48" s="21">
        <v>23.0</v>
      </c>
    </row>
    <row r="49">
      <c r="A49" s="1" t="s">
        <v>78</v>
      </c>
      <c r="B49" s="21">
        <v>21.0</v>
      </c>
    </row>
    <row r="50">
      <c r="A50" s="1" t="s">
        <v>332</v>
      </c>
      <c r="B50" s="21">
        <v>2.0</v>
      </c>
    </row>
    <row r="51">
      <c r="A51" s="1" t="s">
        <v>83</v>
      </c>
      <c r="B51" s="21">
        <v>4.0</v>
      </c>
    </row>
    <row r="52">
      <c r="A52" s="1" t="s">
        <v>34</v>
      </c>
      <c r="B52" s="21">
        <v>12.0</v>
      </c>
    </row>
    <row r="53">
      <c r="A53" s="1" t="s">
        <v>134</v>
      </c>
      <c r="B53" s="21">
        <v>11.0</v>
      </c>
    </row>
    <row r="54">
      <c r="A54" s="1" t="s">
        <v>81</v>
      </c>
      <c r="B54" s="21">
        <v>6.0</v>
      </c>
    </row>
    <row r="55">
      <c r="A55" s="1" t="s">
        <v>80</v>
      </c>
      <c r="B55" s="21">
        <v>7.0</v>
      </c>
    </row>
    <row r="56">
      <c r="A56" s="1" t="s">
        <v>113</v>
      </c>
      <c r="B56" s="21">
        <v>24.0</v>
      </c>
    </row>
    <row r="57">
      <c r="A57" s="1" t="s">
        <v>354</v>
      </c>
      <c r="B57" s="21">
        <v>1.0</v>
      </c>
    </row>
    <row r="58">
      <c r="A58" s="1" t="s">
        <v>126</v>
      </c>
      <c r="B58" s="21">
        <v>9.0</v>
      </c>
    </row>
    <row r="59">
      <c r="A59" s="1" t="s">
        <v>102</v>
      </c>
      <c r="B59" s="21">
        <v>9.0</v>
      </c>
    </row>
    <row r="60">
      <c r="A60" s="1" t="s">
        <v>117</v>
      </c>
      <c r="B60" s="21">
        <v>13.0</v>
      </c>
    </row>
    <row r="61">
      <c r="A61" s="1" t="s">
        <v>64</v>
      </c>
      <c r="B61" s="21">
        <v>9.0</v>
      </c>
    </row>
    <row r="62">
      <c r="A62" s="1" t="s">
        <v>36</v>
      </c>
      <c r="B62" s="21">
        <v>11.0</v>
      </c>
    </row>
    <row r="63">
      <c r="A63" s="1" t="s">
        <v>49</v>
      </c>
      <c r="B63" s="21">
        <v>16.0</v>
      </c>
    </row>
    <row r="64">
      <c r="A64" s="1" t="s">
        <v>132</v>
      </c>
      <c r="B64" s="21">
        <v>14.0</v>
      </c>
    </row>
    <row r="65">
      <c r="A65" s="1" t="s">
        <v>45</v>
      </c>
      <c r="B65" s="21">
        <v>22.0</v>
      </c>
    </row>
    <row r="66">
      <c r="A66" s="1" t="s">
        <v>382</v>
      </c>
      <c r="B66" s="21">
        <v>1.0</v>
      </c>
    </row>
    <row r="67">
      <c r="A67" s="1" t="s">
        <v>386</v>
      </c>
      <c r="B67" s="21">
        <v>2.0</v>
      </c>
    </row>
    <row r="68">
      <c r="A68" s="1" t="s">
        <v>128</v>
      </c>
      <c r="B68" s="21">
        <v>10.0</v>
      </c>
    </row>
    <row r="69">
      <c r="A69" s="1" t="s">
        <v>57</v>
      </c>
      <c r="B69" s="21">
        <v>11.0</v>
      </c>
    </row>
    <row r="70">
      <c r="A70" s="1" t="s">
        <v>127</v>
      </c>
      <c r="B70" s="21">
        <v>8.0</v>
      </c>
    </row>
    <row r="71">
      <c r="A71" s="1" t="s">
        <v>58</v>
      </c>
      <c r="B71" s="21">
        <v>14.0</v>
      </c>
    </row>
    <row r="72">
      <c r="A72" s="1" t="s">
        <v>85</v>
      </c>
      <c r="B72" s="21">
        <v>4.0</v>
      </c>
    </row>
    <row r="73">
      <c r="A73" s="1" t="s">
        <v>54</v>
      </c>
      <c r="B73" s="21">
        <v>10.0</v>
      </c>
    </row>
    <row r="74">
      <c r="A74" s="1" t="s">
        <v>121</v>
      </c>
      <c r="B74" s="21">
        <v>18.0</v>
      </c>
    </row>
    <row r="75">
      <c r="A75" s="1" t="s">
        <v>70</v>
      </c>
      <c r="B75" s="21">
        <v>31.0</v>
      </c>
    </row>
    <row r="76">
      <c r="A76" s="1" t="s">
        <v>37</v>
      </c>
      <c r="B76" s="21">
        <v>6.0</v>
      </c>
    </row>
    <row r="77">
      <c r="A77" s="1" t="s">
        <v>35</v>
      </c>
      <c r="B77" s="21">
        <v>20.0</v>
      </c>
    </row>
    <row r="78">
      <c r="A78" s="1" t="s">
        <v>44</v>
      </c>
      <c r="B78" s="21">
        <v>7.0</v>
      </c>
    </row>
    <row r="79">
      <c r="A79" s="1" t="s">
        <v>91</v>
      </c>
      <c r="B79" s="21">
        <v>6.0</v>
      </c>
    </row>
    <row r="80">
      <c r="A80" s="1" t="s">
        <v>50</v>
      </c>
      <c r="B80" s="21">
        <v>23.0</v>
      </c>
    </row>
    <row r="81">
      <c r="A81" s="1" t="s">
        <v>429</v>
      </c>
      <c r="B81" s="21">
        <v>3.0</v>
      </c>
    </row>
    <row r="82">
      <c r="A82" s="1" t="s">
        <v>84</v>
      </c>
      <c r="B82" s="21">
        <v>13.0</v>
      </c>
    </row>
    <row r="83">
      <c r="A83" s="1" t="s">
        <v>136</v>
      </c>
      <c r="B83" s="21">
        <v>4.0</v>
      </c>
    </row>
    <row r="84">
      <c r="A84" s="1" t="s">
        <v>130</v>
      </c>
      <c r="B84" s="21">
        <v>7.0</v>
      </c>
    </row>
    <row r="85">
      <c r="A85" s="1" t="s">
        <v>112</v>
      </c>
      <c r="B85" s="21">
        <v>5.0</v>
      </c>
    </row>
    <row r="86">
      <c r="A86" s="1" t="s">
        <v>97</v>
      </c>
      <c r="B86" s="21">
        <v>23.0</v>
      </c>
    </row>
    <row r="87">
      <c r="A87" s="1" t="s">
        <v>53</v>
      </c>
      <c r="B87" s="21">
        <v>7.0</v>
      </c>
    </row>
    <row r="88">
      <c r="A88" s="1" t="s">
        <v>451</v>
      </c>
      <c r="B88" s="21">
        <v>2.0</v>
      </c>
    </row>
    <row r="89">
      <c r="A89" s="1" t="s">
        <v>82</v>
      </c>
      <c r="B89" s="21">
        <v>4.0</v>
      </c>
    </row>
    <row r="90">
      <c r="A90" s="1" t="s">
        <v>131</v>
      </c>
      <c r="B90" s="21">
        <v>11.0</v>
      </c>
    </row>
    <row r="91">
      <c r="A91" s="1" t="s">
        <v>119</v>
      </c>
      <c r="B91" s="21">
        <v>12.0</v>
      </c>
    </row>
    <row r="92">
      <c r="A92" s="1" t="s">
        <v>33</v>
      </c>
      <c r="B92" s="21">
        <v>21.0</v>
      </c>
    </row>
    <row r="93">
      <c r="A93" s="1" t="s">
        <v>124</v>
      </c>
      <c r="B93" s="21">
        <v>4.0</v>
      </c>
    </row>
    <row r="94">
      <c r="A94" s="1" t="s">
        <v>470</v>
      </c>
      <c r="B94" s="21">
        <v>3.0</v>
      </c>
    </row>
    <row r="95">
      <c r="A95" s="1" t="s">
        <v>38</v>
      </c>
      <c r="B95" s="21">
        <v>4.0</v>
      </c>
    </row>
    <row r="96">
      <c r="A96" s="1" t="s">
        <v>65</v>
      </c>
      <c r="B96" s="21">
        <v>7.0</v>
      </c>
    </row>
    <row r="97">
      <c r="A97" s="1" t="s">
        <v>43</v>
      </c>
      <c r="B97" s="21">
        <v>9.0</v>
      </c>
    </row>
    <row r="98">
      <c r="A98" s="1" t="s">
        <v>93</v>
      </c>
      <c r="B98" s="21">
        <v>6.0</v>
      </c>
    </row>
    <row r="99">
      <c r="A99" s="1" t="s">
        <v>103</v>
      </c>
      <c r="B99" s="21">
        <v>10.0</v>
      </c>
    </row>
    <row r="100">
      <c r="A100" s="1" t="s">
        <v>31</v>
      </c>
      <c r="B100" s="21">
        <v>10.0</v>
      </c>
    </row>
    <row r="101">
      <c r="A101" s="1" t="s">
        <v>492</v>
      </c>
      <c r="B101" s="21">
        <v>2.0</v>
      </c>
    </row>
    <row r="102">
      <c r="A102" s="1" t="s">
        <v>73</v>
      </c>
      <c r="B102" s="21">
        <v>30.0</v>
      </c>
    </row>
    <row r="103">
      <c r="A103" s="1" t="s">
        <v>42</v>
      </c>
      <c r="B103" s="21">
        <v>18.0</v>
      </c>
    </row>
    <row r="104">
      <c r="A104" s="1" t="s">
        <v>99</v>
      </c>
      <c r="B104" s="21">
        <v>14.0</v>
      </c>
    </row>
    <row r="105">
      <c r="A105" s="1" t="s">
        <v>109</v>
      </c>
      <c r="B105" s="21">
        <v>16.0</v>
      </c>
    </row>
    <row r="106">
      <c r="A106" s="1" t="s">
        <v>30</v>
      </c>
      <c r="B106" s="21">
        <v>36.0</v>
      </c>
    </row>
    <row r="107">
      <c r="A107" s="1" t="s">
        <v>66</v>
      </c>
      <c r="B107" s="21">
        <v>5.0</v>
      </c>
    </row>
    <row r="108">
      <c r="A108" s="1" t="s">
        <v>68</v>
      </c>
      <c r="B108" s="21">
        <v>5.0</v>
      </c>
    </row>
    <row r="109">
      <c r="A109" s="1" t="s">
        <v>74</v>
      </c>
      <c r="B109" s="21">
        <v>18.0</v>
      </c>
    </row>
    <row r="110">
      <c r="A110" s="1" t="s">
        <v>123</v>
      </c>
      <c r="B110" s="21">
        <v>22.0</v>
      </c>
    </row>
    <row r="111">
      <c r="A111" s="1" t="s">
        <v>90</v>
      </c>
      <c r="B111" s="21">
        <v>24.0</v>
      </c>
    </row>
    <row r="112">
      <c r="A112" s="1" t="s">
        <v>40</v>
      </c>
      <c r="B112" s="21">
        <v>12.0</v>
      </c>
    </row>
    <row r="113">
      <c r="A113" s="1" t="s">
        <v>52</v>
      </c>
      <c r="B113" s="21">
        <v>14.0</v>
      </c>
    </row>
    <row r="114">
      <c r="A114" s="1" t="s">
        <v>107</v>
      </c>
      <c r="B114" s="21">
        <v>31.0</v>
      </c>
    </row>
    <row r="115">
      <c r="A115" s="1" t="s">
        <v>105</v>
      </c>
      <c r="B115" s="21">
        <v>9.0</v>
      </c>
    </row>
    <row r="116">
      <c r="A116" s="1" t="s">
        <v>47</v>
      </c>
      <c r="B116" s="21">
        <v>12.0</v>
      </c>
    </row>
    <row r="117">
      <c r="A117" s="1" t="s">
        <v>541</v>
      </c>
      <c r="B117" s="21">
        <v>2.0</v>
      </c>
    </row>
    <row r="118">
      <c r="A118" s="1" t="s">
        <v>98</v>
      </c>
      <c r="B118" s="21">
        <v>4.0</v>
      </c>
    </row>
    <row r="119">
      <c r="A119" s="1" t="s">
        <v>548</v>
      </c>
      <c r="B119" s="21">
        <v>3.0</v>
      </c>
    </row>
    <row r="120">
      <c r="A120" s="1" t="s">
        <v>92</v>
      </c>
      <c r="B120" s="21">
        <v>19.0</v>
      </c>
    </row>
    <row r="121">
      <c r="A121" s="1" t="s">
        <v>62</v>
      </c>
      <c r="B121" s="21">
        <v>6.0</v>
      </c>
    </row>
    <row r="122">
      <c r="A122" s="1" t="s">
        <v>61</v>
      </c>
      <c r="B122" s="21">
        <v>33.0</v>
      </c>
    </row>
    <row r="123">
      <c r="A123" s="1" t="s">
        <v>101</v>
      </c>
      <c r="B123" s="21">
        <v>4.0</v>
      </c>
    </row>
    <row r="124">
      <c r="A124" s="1" t="s">
        <v>564</v>
      </c>
      <c r="B124" s="21">
        <v>1.0</v>
      </c>
    </row>
    <row r="125">
      <c r="A125" s="1" t="s">
        <v>106</v>
      </c>
      <c r="B125" s="21">
        <v>14.0</v>
      </c>
    </row>
    <row r="126">
      <c r="A126" s="1" t="s">
        <v>89</v>
      </c>
      <c r="B126" s="21">
        <v>15.0</v>
      </c>
    </row>
    <row r="127">
      <c r="A127" s="1" t="s">
        <v>75</v>
      </c>
      <c r="B127" s="21">
        <v>29.0</v>
      </c>
    </row>
    <row r="128">
      <c r="A128" s="1" t="s">
        <v>114</v>
      </c>
      <c r="B128" s="21">
        <v>23.0</v>
      </c>
    </row>
    <row r="129">
      <c r="A129" s="1" t="s">
        <v>59</v>
      </c>
      <c r="B129" s="21">
        <v>17.0</v>
      </c>
    </row>
    <row r="130">
      <c r="A130" s="1" t="s">
        <v>125</v>
      </c>
      <c r="B130" s="21">
        <v>13.0</v>
      </c>
    </row>
    <row r="131">
      <c r="A131" s="1" t="s">
        <v>51</v>
      </c>
      <c r="B131" s="21">
        <v>11.0</v>
      </c>
    </row>
    <row r="132">
      <c r="A132" s="1" t="s">
        <v>72</v>
      </c>
      <c r="B132" s="21">
        <v>7.0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970</v>
      </c>
    </row>
    <row r="2">
      <c r="A2" s="1" t="s">
        <v>79</v>
      </c>
      <c r="B2" s="21">
        <v>1.0</v>
      </c>
    </row>
    <row r="3">
      <c r="A3" s="1" t="s">
        <v>180</v>
      </c>
      <c r="B3" s="21">
        <v>1.0</v>
      </c>
    </row>
    <row r="4">
      <c r="A4" s="1" t="s">
        <v>60</v>
      </c>
      <c r="B4" s="21">
        <v>1.0</v>
      </c>
    </row>
    <row r="5">
      <c r="A5" s="1" t="s">
        <v>48</v>
      </c>
      <c r="B5" s="21">
        <v>4.0</v>
      </c>
    </row>
    <row r="6">
      <c r="A6" s="1" t="s">
        <v>69</v>
      </c>
      <c r="B6" s="21">
        <v>1.0</v>
      </c>
    </row>
    <row r="7">
      <c r="A7" s="1" t="s">
        <v>32</v>
      </c>
      <c r="B7" s="21">
        <v>2.0</v>
      </c>
    </row>
    <row r="8">
      <c r="A8" s="1" t="s">
        <v>71</v>
      </c>
      <c r="B8" s="21">
        <v>1.0</v>
      </c>
    </row>
    <row r="9">
      <c r="A9" s="1" t="s">
        <v>46</v>
      </c>
      <c r="B9" s="21">
        <v>1.0</v>
      </c>
    </row>
    <row r="10">
      <c r="A10" s="1" t="s">
        <v>111</v>
      </c>
      <c r="B10" s="21">
        <v>2.0</v>
      </c>
    </row>
    <row r="11">
      <c r="A11" s="1" t="s">
        <v>205</v>
      </c>
      <c r="B11" s="21">
        <v>2.0</v>
      </c>
    </row>
    <row r="12">
      <c r="A12" s="1" t="s">
        <v>135</v>
      </c>
      <c r="B12" s="21">
        <v>1.0</v>
      </c>
    </row>
    <row r="13">
      <c r="A13" s="1" t="s">
        <v>212</v>
      </c>
      <c r="B13" s="21">
        <v>1.0</v>
      </c>
    </row>
    <row r="14">
      <c r="A14" s="1" t="s">
        <v>216</v>
      </c>
      <c r="B14" s="21">
        <v>1.0</v>
      </c>
    </row>
    <row r="15">
      <c r="A15" s="1" t="s">
        <v>95</v>
      </c>
      <c r="B15" s="21">
        <v>5.0</v>
      </c>
    </row>
    <row r="16">
      <c r="A16" s="1" t="s">
        <v>63</v>
      </c>
      <c r="B16" s="21">
        <v>3.0</v>
      </c>
    </row>
    <row r="17">
      <c r="A17" s="1" t="s">
        <v>86</v>
      </c>
      <c r="B17" s="21">
        <v>2.0</v>
      </c>
    </row>
    <row r="18">
      <c r="A18" s="1" t="s">
        <v>116</v>
      </c>
      <c r="B18" s="21">
        <v>3.0</v>
      </c>
    </row>
    <row r="19">
      <c r="A19" s="1" t="s">
        <v>96</v>
      </c>
      <c r="B19" s="21">
        <v>1.0</v>
      </c>
    </row>
    <row r="20">
      <c r="A20" s="1" t="s">
        <v>235</v>
      </c>
      <c r="B20" s="21">
        <v>1.0</v>
      </c>
    </row>
    <row r="21">
      <c r="A21" s="1" t="s">
        <v>110</v>
      </c>
      <c r="B21" s="21">
        <v>2.0</v>
      </c>
    </row>
    <row r="22">
      <c r="A22" s="1" t="s">
        <v>120</v>
      </c>
      <c r="B22" s="21">
        <v>3.0</v>
      </c>
    </row>
    <row r="23">
      <c r="A23" s="1" t="s">
        <v>77</v>
      </c>
      <c r="B23" s="21">
        <v>2.0</v>
      </c>
    </row>
    <row r="24">
      <c r="A24" s="1" t="s">
        <v>94</v>
      </c>
      <c r="B24" s="21">
        <v>3.0</v>
      </c>
    </row>
    <row r="25">
      <c r="A25" s="1" t="s">
        <v>87</v>
      </c>
      <c r="B25" s="21">
        <v>2.0</v>
      </c>
    </row>
    <row r="26">
      <c r="A26" s="1" t="s">
        <v>29</v>
      </c>
      <c r="B26" s="21">
        <v>2.0</v>
      </c>
    </row>
    <row r="27">
      <c r="A27" s="1" t="s">
        <v>257</v>
      </c>
      <c r="B27" s="21">
        <v>1.0</v>
      </c>
    </row>
    <row r="28">
      <c r="A28" s="1" t="s">
        <v>129</v>
      </c>
      <c r="B28" s="21">
        <v>2.0</v>
      </c>
    </row>
    <row r="29">
      <c r="A29" s="1" t="s">
        <v>100</v>
      </c>
      <c r="B29" s="21">
        <v>1.0</v>
      </c>
    </row>
    <row r="30">
      <c r="A30" s="1" t="s">
        <v>122</v>
      </c>
      <c r="B30" s="21">
        <v>2.0</v>
      </c>
    </row>
    <row r="31">
      <c r="A31" s="1" t="s">
        <v>137</v>
      </c>
      <c r="B31" s="21">
        <v>1.0</v>
      </c>
    </row>
    <row r="32">
      <c r="A32" s="1" t="s">
        <v>118</v>
      </c>
      <c r="B32" s="21">
        <v>1.0</v>
      </c>
    </row>
    <row r="33">
      <c r="A33" s="1" t="s">
        <v>276</v>
      </c>
      <c r="B33" s="21">
        <v>1.0</v>
      </c>
    </row>
    <row r="34">
      <c r="A34" s="1" t="s">
        <v>115</v>
      </c>
      <c r="B34" s="21">
        <v>1.0</v>
      </c>
    </row>
    <row r="35">
      <c r="A35" s="1" t="s">
        <v>76</v>
      </c>
      <c r="B35" s="21">
        <v>2.0</v>
      </c>
    </row>
    <row r="36">
      <c r="A36" s="1" t="s">
        <v>88</v>
      </c>
      <c r="B36" s="21">
        <v>3.0</v>
      </c>
    </row>
    <row r="37">
      <c r="A37" s="1" t="s">
        <v>41</v>
      </c>
      <c r="B37" s="21">
        <v>2.0</v>
      </c>
    </row>
    <row r="38">
      <c r="A38" s="1" t="s">
        <v>104</v>
      </c>
      <c r="B38" s="21">
        <v>2.0</v>
      </c>
    </row>
    <row r="39">
      <c r="A39" s="1" t="s">
        <v>295</v>
      </c>
      <c r="B39" s="21">
        <v>1.0</v>
      </c>
    </row>
    <row r="40">
      <c r="A40" s="1" t="s">
        <v>299</v>
      </c>
      <c r="B40" s="21">
        <v>1.0</v>
      </c>
    </row>
    <row r="41">
      <c r="A41" s="1" t="s">
        <v>133</v>
      </c>
      <c r="B41" s="21">
        <v>1.0</v>
      </c>
    </row>
    <row r="42">
      <c r="A42" s="1" t="s">
        <v>306</v>
      </c>
      <c r="B42" s="21">
        <v>1.0</v>
      </c>
    </row>
    <row r="43">
      <c r="A43" s="1" t="s">
        <v>67</v>
      </c>
      <c r="B43" s="21">
        <v>2.0</v>
      </c>
    </row>
    <row r="44">
      <c r="A44" s="1" t="s">
        <v>108</v>
      </c>
      <c r="B44" s="21">
        <v>1.0</v>
      </c>
    </row>
    <row r="45">
      <c r="A45" s="1" t="s">
        <v>316</v>
      </c>
      <c r="B45" s="21">
        <v>1.0</v>
      </c>
    </row>
    <row r="46">
      <c r="A46" s="1" t="s">
        <v>39</v>
      </c>
      <c r="B46" s="21">
        <v>4.0</v>
      </c>
    </row>
    <row r="47">
      <c r="A47" s="1" t="s">
        <v>56</v>
      </c>
      <c r="B47" s="21">
        <v>3.0</v>
      </c>
    </row>
    <row r="48">
      <c r="A48" s="1" t="s">
        <v>55</v>
      </c>
      <c r="B48" s="21">
        <v>3.0</v>
      </c>
    </row>
    <row r="49">
      <c r="A49" s="1" t="s">
        <v>78</v>
      </c>
      <c r="B49" s="21">
        <v>3.0</v>
      </c>
    </row>
    <row r="50">
      <c r="A50" s="1" t="s">
        <v>332</v>
      </c>
      <c r="B50" s="21">
        <v>1.0</v>
      </c>
    </row>
    <row r="51">
      <c r="A51" s="1" t="s">
        <v>83</v>
      </c>
      <c r="B51" s="21">
        <v>3.0</v>
      </c>
    </row>
    <row r="52">
      <c r="A52" s="1" t="s">
        <v>34</v>
      </c>
      <c r="B52" s="21">
        <v>2.0</v>
      </c>
    </row>
    <row r="53">
      <c r="A53" s="1" t="s">
        <v>134</v>
      </c>
      <c r="B53" s="21">
        <v>2.0</v>
      </c>
    </row>
    <row r="54">
      <c r="A54" s="1" t="s">
        <v>81</v>
      </c>
      <c r="B54" s="21">
        <v>2.0</v>
      </c>
    </row>
    <row r="55">
      <c r="A55" s="1" t="s">
        <v>80</v>
      </c>
      <c r="B55" s="21">
        <v>1.0</v>
      </c>
    </row>
    <row r="56">
      <c r="A56" s="1" t="s">
        <v>113</v>
      </c>
      <c r="B56" s="21">
        <v>3.0</v>
      </c>
    </row>
    <row r="57">
      <c r="A57" s="1" t="s">
        <v>354</v>
      </c>
      <c r="B57" s="21">
        <v>1.0</v>
      </c>
    </row>
    <row r="58">
      <c r="A58" s="1" t="s">
        <v>126</v>
      </c>
      <c r="B58" s="21">
        <v>1.0</v>
      </c>
    </row>
    <row r="59">
      <c r="A59" s="1" t="s">
        <v>102</v>
      </c>
      <c r="B59" s="21">
        <v>2.0</v>
      </c>
    </row>
    <row r="60">
      <c r="A60" s="1" t="s">
        <v>117</v>
      </c>
      <c r="B60" s="21">
        <v>2.0</v>
      </c>
    </row>
    <row r="61">
      <c r="A61" s="1" t="s">
        <v>64</v>
      </c>
      <c r="B61" s="21">
        <v>4.0</v>
      </c>
    </row>
    <row r="62">
      <c r="A62" s="1" t="s">
        <v>36</v>
      </c>
      <c r="B62" s="21">
        <v>2.0</v>
      </c>
    </row>
    <row r="63">
      <c r="A63" s="1" t="s">
        <v>49</v>
      </c>
      <c r="B63" s="21">
        <v>3.0</v>
      </c>
    </row>
    <row r="64">
      <c r="A64" s="1" t="s">
        <v>132</v>
      </c>
      <c r="B64" s="21">
        <v>1.0</v>
      </c>
    </row>
    <row r="65">
      <c r="A65" s="1" t="s">
        <v>45</v>
      </c>
      <c r="B65" s="21">
        <v>3.0</v>
      </c>
    </row>
    <row r="66">
      <c r="A66" s="1" t="s">
        <v>382</v>
      </c>
      <c r="B66" s="21">
        <v>1.0</v>
      </c>
    </row>
    <row r="67">
      <c r="A67" s="1" t="s">
        <v>386</v>
      </c>
      <c r="B67" s="21">
        <v>1.0</v>
      </c>
    </row>
    <row r="68">
      <c r="A68" s="1" t="s">
        <v>128</v>
      </c>
      <c r="B68" s="21">
        <v>2.0</v>
      </c>
    </row>
    <row r="69">
      <c r="A69" s="1" t="s">
        <v>57</v>
      </c>
      <c r="B69" s="21">
        <v>3.0</v>
      </c>
    </row>
    <row r="70">
      <c r="A70" s="1" t="s">
        <v>127</v>
      </c>
      <c r="B70" s="21">
        <v>2.0</v>
      </c>
    </row>
    <row r="71">
      <c r="A71" s="1" t="s">
        <v>58</v>
      </c>
      <c r="B71" s="21">
        <v>1.0</v>
      </c>
    </row>
    <row r="72">
      <c r="A72" s="1" t="s">
        <v>85</v>
      </c>
      <c r="B72" s="21">
        <v>1.0</v>
      </c>
    </row>
    <row r="73">
      <c r="A73" s="1" t="s">
        <v>54</v>
      </c>
      <c r="B73" s="21">
        <v>3.0</v>
      </c>
    </row>
    <row r="74">
      <c r="A74" s="1" t="s">
        <v>121</v>
      </c>
      <c r="B74" s="21">
        <v>3.0</v>
      </c>
    </row>
    <row r="75">
      <c r="A75" s="1" t="s">
        <v>70</v>
      </c>
      <c r="B75" s="21">
        <v>1.0</v>
      </c>
    </row>
    <row r="76">
      <c r="A76" s="1" t="s">
        <v>37</v>
      </c>
      <c r="B76" s="21">
        <v>2.0</v>
      </c>
    </row>
    <row r="77">
      <c r="A77" s="1" t="s">
        <v>35</v>
      </c>
      <c r="B77" s="21">
        <v>4.0</v>
      </c>
    </row>
    <row r="78">
      <c r="A78" s="1" t="s">
        <v>44</v>
      </c>
      <c r="B78" s="21">
        <v>3.0</v>
      </c>
    </row>
    <row r="79">
      <c r="A79" s="1" t="s">
        <v>91</v>
      </c>
      <c r="B79" s="21">
        <v>1.0</v>
      </c>
    </row>
    <row r="80">
      <c r="A80" s="1" t="s">
        <v>50</v>
      </c>
      <c r="B80" s="21">
        <v>3.0</v>
      </c>
    </row>
    <row r="81">
      <c r="A81" s="1" t="s">
        <v>429</v>
      </c>
      <c r="B81" s="21">
        <v>2.0</v>
      </c>
    </row>
    <row r="82">
      <c r="A82" s="1" t="s">
        <v>84</v>
      </c>
      <c r="B82" s="21">
        <v>4.0</v>
      </c>
    </row>
    <row r="83">
      <c r="A83" s="1" t="s">
        <v>136</v>
      </c>
      <c r="B83" s="21">
        <v>2.0</v>
      </c>
    </row>
    <row r="84">
      <c r="A84" s="1" t="s">
        <v>130</v>
      </c>
      <c r="B84" s="21">
        <v>1.0</v>
      </c>
    </row>
    <row r="85">
      <c r="A85" s="1" t="s">
        <v>112</v>
      </c>
      <c r="B85" s="21">
        <v>1.0</v>
      </c>
    </row>
    <row r="86">
      <c r="A86" s="1" t="s">
        <v>97</v>
      </c>
      <c r="B86" s="21">
        <v>4.0</v>
      </c>
    </row>
    <row r="87">
      <c r="A87" s="1" t="s">
        <v>53</v>
      </c>
      <c r="B87" s="21">
        <v>3.0</v>
      </c>
    </row>
    <row r="88">
      <c r="A88" s="1" t="s">
        <v>451</v>
      </c>
      <c r="B88" s="21">
        <v>1.0</v>
      </c>
    </row>
    <row r="89">
      <c r="A89" s="1" t="s">
        <v>82</v>
      </c>
      <c r="B89" s="21">
        <v>2.0</v>
      </c>
    </row>
    <row r="90">
      <c r="A90" s="1" t="s">
        <v>131</v>
      </c>
      <c r="B90" s="21">
        <v>2.0</v>
      </c>
    </row>
    <row r="91">
      <c r="A91" s="1" t="s">
        <v>119</v>
      </c>
      <c r="B91" s="21">
        <v>4.0</v>
      </c>
    </row>
    <row r="92">
      <c r="A92" s="1" t="s">
        <v>33</v>
      </c>
      <c r="B92" s="21">
        <v>6.0</v>
      </c>
    </row>
    <row r="93">
      <c r="A93" s="1" t="s">
        <v>124</v>
      </c>
      <c r="B93" s="21">
        <v>1.0</v>
      </c>
    </row>
    <row r="94">
      <c r="A94" s="1" t="s">
        <v>470</v>
      </c>
      <c r="B94" s="21">
        <v>1.0</v>
      </c>
    </row>
    <row r="95">
      <c r="A95" s="1" t="s">
        <v>38</v>
      </c>
      <c r="B95" s="21">
        <v>1.0</v>
      </c>
    </row>
    <row r="96">
      <c r="A96" s="1" t="s">
        <v>65</v>
      </c>
      <c r="B96" s="21">
        <v>1.0</v>
      </c>
    </row>
    <row r="97">
      <c r="A97" s="1" t="s">
        <v>43</v>
      </c>
      <c r="B97" s="21">
        <v>1.0</v>
      </c>
    </row>
    <row r="98">
      <c r="A98" s="1" t="s">
        <v>93</v>
      </c>
      <c r="B98" s="21">
        <v>1.0</v>
      </c>
    </row>
    <row r="99">
      <c r="A99" s="1" t="s">
        <v>103</v>
      </c>
      <c r="B99" s="21">
        <v>3.0</v>
      </c>
    </row>
    <row r="100">
      <c r="A100" s="1" t="s">
        <v>31</v>
      </c>
      <c r="B100" s="21">
        <v>1.0</v>
      </c>
    </row>
    <row r="101">
      <c r="A101" s="1" t="s">
        <v>492</v>
      </c>
      <c r="B101" s="21">
        <v>1.0</v>
      </c>
    </row>
    <row r="102">
      <c r="A102" s="1" t="s">
        <v>73</v>
      </c>
      <c r="B102" s="21">
        <v>3.0</v>
      </c>
    </row>
    <row r="103">
      <c r="A103" s="1" t="s">
        <v>42</v>
      </c>
      <c r="B103" s="21">
        <v>2.0</v>
      </c>
    </row>
    <row r="104">
      <c r="A104" s="1" t="s">
        <v>99</v>
      </c>
      <c r="B104" s="21">
        <v>1.0</v>
      </c>
    </row>
    <row r="105">
      <c r="A105" s="1" t="s">
        <v>109</v>
      </c>
      <c r="B105" s="21">
        <v>4.0</v>
      </c>
    </row>
    <row r="106">
      <c r="A106" s="1" t="s">
        <v>30</v>
      </c>
      <c r="B106" s="21">
        <v>2.0</v>
      </c>
    </row>
    <row r="107">
      <c r="A107" s="1" t="s">
        <v>66</v>
      </c>
      <c r="B107" s="21">
        <v>1.0</v>
      </c>
    </row>
    <row r="108">
      <c r="A108" s="1" t="s">
        <v>68</v>
      </c>
      <c r="B108" s="21">
        <v>2.0</v>
      </c>
    </row>
    <row r="109">
      <c r="A109" s="1" t="s">
        <v>74</v>
      </c>
      <c r="B109" s="21">
        <v>3.0</v>
      </c>
    </row>
    <row r="110">
      <c r="A110" s="1" t="s">
        <v>123</v>
      </c>
      <c r="B110" s="21">
        <v>4.0</v>
      </c>
    </row>
    <row r="111">
      <c r="A111" s="1" t="s">
        <v>90</v>
      </c>
      <c r="B111" s="21">
        <v>3.0</v>
      </c>
    </row>
    <row r="112">
      <c r="A112" s="1" t="s">
        <v>40</v>
      </c>
      <c r="B112" s="21">
        <v>1.0</v>
      </c>
    </row>
    <row r="113">
      <c r="A113" s="1" t="s">
        <v>52</v>
      </c>
      <c r="B113" s="21">
        <v>2.0</v>
      </c>
    </row>
    <row r="114">
      <c r="A114" s="1" t="s">
        <v>107</v>
      </c>
      <c r="B114" s="21">
        <v>4.0</v>
      </c>
    </row>
    <row r="115">
      <c r="A115" s="1" t="s">
        <v>105</v>
      </c>
      <c r="B115" s="21">
        <v>3.0</v>
      </c>
    </row>
    <row r="116">
      <c r="A116" s="1" t="s">
        <v>47</v>
      </c>
      <c r="B116" s="21">
        <v>3.0</v>
      </c>
    </row>
    <row r="117">
      <c r="A117" s="1" t="s">
        <v>541</v>
      </c>
      <c r="B117" s="21">
        <v>1.0</v>
      </c>
    </row>
    <row r="118">
      <c r="A118" s="1" t="s">
        <v>98</v>
      </c>
      <c r="B118" s="21">
        <v>1.0</v>
      </c>
    </row>
    <row r="119">
      <c r="A119" s="1" t="s">
        <v>548</v>
      </c>
      <c r="B119" s="21">
        <v>1.0</v>
      </c>
    </row>
    <row r="120">
      <c r="A120" s="1" t="s">
        <v>92</v>
      </c>
      <c r="B120" s="21">
        <v>1.0</v>
      </c>
    </row>
    <row r="121">
      <c r="A121" s="1" t="s">
        <v>62</v>
      </c>
      <c r="B121" s="21">
        <v>1.0</v>
      </c>
    </row>
    <row r="122">
      <c r="A122" s="1" t="s">
        <v>61</v>
      </c>
      <c r="B122" s="21">
        <v>2.0</v>
      </c>
    </row>
    <row r="123">
      <c r="A123" s="1" t="s">
        <v>101</v>
      </c>
      <c r="B123" s="21">
        <v>2.0</v>
      </c>
    </row>
    <row r="124">
      <c r="A124" s="1" t="s">
        <v>564</v>
      </c>
      <c r="B124" s="21">
        <v>1.0</v>
      </c>
    </row>
    <row r="125">
      <c r="A125" s="1" t="s">
        <v>106</v>
      </c>
      <c r="B125" s="21">
        <v>2.0</v>
      </c>
    </row>
    <row r="126">
      <c r="A126" s="1" t="s">
        <v>89</v>
      </c>
      <c r="B126" s="21">
        <v>4.0</v>
      </c>
    </row>
    <row r="127">
      <c r="A127" s="1" t="s">
        <v>75</v>
      </c>
      <c r="B127" s="21">
        <v>1.0</v>
      </c>
    </row>
    <row r="128">
      <c r="A128" s="1" t="s">
        <v>114</v>
      </c>
      <c r="B128" s="21">
        <v>2.0</v>
      </c>
    </row>
    <row r="129">
      <c r="A129" s="1" t="s">
        <v>59</v>
      </c>
      <c r="B129" s="21">
        <v>2.0</v>
      </c>
    </row>
    <row r="130">
      <c r="A130" s="1" t="s">
        <v>125</v>
      </c>
      <c r="B130" s="21">
        <v>3.0</v>
      </c>
    </row>
    <row r="131">
      <c r="A131" s="1" t="s">
        <v>51</v>
      </c>
      <c r="B131" s="21">
        <v>2.0</v>
      </c>
    </row>
    <row r="132">
      <c r="A132" s="1" t="s">
        <v>72</v>
      </c>
      <c r="B132" s="2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971</v>
      </c>
    </row>
    <row r="2">
      <c r="A2" s="1" t="s">
        <v>79</v>
      </c>
      <c r="B2" s="1">
        <v>1.0</v>
      </c>
    </row>
    <row r="3">
      <c r="A3" s="1" t="s">
        <v>180</v>
      </c>
      <c r="B3" s="1">
        <v>0.0</v>
      </c>
    </row>
    <row r="4">
      <c r="A4" s="1" t="s">
        <v>60</v>
      </c>
      <c r="B4" s="1">
        <v>0.2</v>
      </c>
    </row>
    <row r="5">
      <c r="A5" s="1" t="s">
        <v>48</v>
      </c>
      <c r="B5" s="1">
        <v>0.896551724137931</v>
      </c>
    </row>
    <row r="6">
      <c r="A6" s="1" t="s">
        <v>69</v>
      </c>
      <c r="B6" s="1">
        <v>0.8125</v>
      </c>
    </row>
    <row r="7">
      <c r="A7" s="1" t="s">
        <v>32</v>
      </c>
      <c r="B7" s="1">
        <v>0.75</v>
      </c>
    </row>
    <row r="8">
      <c r="A8" s="1" t="s">
        <v>71</v>
      </c>
      <c r="B8" s="1">
        <v>0.866666666666666</v>
      </c>
    </row>
    <row r="9">
      <c r="A9" s="1" t="s">
        <v>46</v>
      </c>
      <c r="B9" s="1">
        <v>0.777777777777777</v>
      </c>
    </row>
    <row r="10">
      <c r="A10" s="1" t="s">
        <v>111</v>
      </c>
      <c r="B10" s="1">
        <v>0.352941176470588</v>
      </c>
    </row>
    <row r="11">
      <c r="A11" s="1" t="s">
        <v>205</v>
      </c>
      <c r="B11" s="1">
        <v>0.169491525423728</v>
      </c>
    </row>
    <row r="12">
      <c r="A12" s="1" t="s">
        <v>135</v>
      </c>
      <c r="B12" s="1">
        <v>0.6</v>
      </c>
    </row>
    <row r="13">
      <c r="A13" s="1" t="s">
        <v>212</v>
      </c>
      <c r="B13" s="1">
        <v>0.0</v>
      </c>
    </row>
    <row r="14">
      <c r="A14" s="1" t="s">
        <v>216</v>
      </c>
      <c r="B14" s="1">
        <v>1.0</v>
      </c>
    </row>
    <row r="15">
      <c r="A15" s="1" t="s">
        <v>95</v>
      </c>
      <c r="B15" s="1">
        <v>0.769230769230769</v>
      </c>
    </row>
    <row r="16">
      <c r="A16" s="1" t="s">
        <v>63</v>
      </c>
      <c r="B16" s="1">
        <v>0.555555555555555</v>
      </c>
    </row>
    <row r="17">
      <c r="A17" s="1" t="s">
        <v>86</v>
      </c>
      <c r="B17" s="1">
        <v>0.375</v>
      </c>
    </row>
    <row r="18">
      <c r="A18" s="1" t="s">
        <v>116</v>
      </c>
      <c r="B18" s="1">
        <v>0.857142857142857</v>
      </c>
    </row>
    <row r="19">
      <c r="A19" s="1" t="s">
        <v>96</v>
      </c>
      <c r="B19" s="1">
        <v>0.705882352941176</v>
      </c>
    </row>
    <row r="20">
      <c r="A20" s="1" t="s">
        <v>235</v>
      </c>
      <c r="B20" s="1">
        <v>1.0</v>
      </c>
    </row>
    <row r="21">
      <c r="A21" s="1" t="s">
        <v>110</v>
      </c>
      <c r="B21" s="1">
        <v>0.366666666666666</v>
      </c>
    </row>
    <row r="22">
      <c r="A22" s="1" t="s">
        <v>120</v>
      </c>
      <c r="B22" s="1">
        <v>0.941176470588235</v>
      </c>
    </row>
    <row r="23">
      <c r="A23" s="1" t="s">
        <v>77</v>
      </c>
      <c r="B23" s="1">
        <v>0.818181818181818</v>
      </c>
    </row>
    <row r="24">
      <c r="A24" s="1" t="s">
        <v>94</v>
      </c>
      <c r="B24" s="1">
        <v>0.576923076923076</v>
      </c>
    </row>
    <row r="25">
      <c r="A25" s="1" t="s">
        <v>87</v>
      </c>
      <c r="B25" s="1">
        <v>0.666666666666666</v>
      </c>
    </row>
    <row r="26">
      <c r="A26" s="1" t="s">
        <v>29</v>
      </c>
      <c r="B26" s="1">
        <v>0.4</v>
      </c>
    </row>
    <row r="27">
      <c r="A27" s="1" t="s">
        <v>257</v>
      </c>
      <c r="B27" s="1">
        <v>1.0</v>
      </c>
    </row>
    <row r="28">
      <c r="A28" s="1" t="s">
        <v>129</v>
      </c>
      <c r="B28" s="1">
        <v>1.0</v>
      </c>
    </row>
    <row r="29">
      <c r="A29" s="1" t="s">
        <v>100</v>
      </c>
      <c r="B29" s="1">
        <v>0.0</v>
      </c>
    </row>
    <row r="30">
      <c r="A30" s="1" t="s">
        <v>122</v>
      </c>
      <c r="B30" s="1">
        <v>0.633333333333333</v>
      </c>
    </row>
    <row r="31">
      <c r="A31" s="1" t="s">
        <v>137</v>
      </c>
      <c r="B31" s="1">
        <v>0.666666666666666</v>
      </c>
    </row>
    <row r="32">
      <c r="A32" s="1" t="s">
        <v>118</v>
      </c>
      <c r="B32" s="1">
        <v>0.666666666666666</v>
      </c>
    </row>
    <row r="33">
      <c r="A33" s="1" t="s">
        <v>276</v>
      </c>
      <c r="B33" s="1">
        <v>0.0</v>
      </c>
    </row>
    <row r="34">
      <c r="A34" s="1" t="s">
        <v>115</v>
      </c>
      <c r="B34" s="1">
        <v>0.666666666666666</v>
      </c>
    </row>
    <row r="35">
      <c r="A35" s="1" t="s">
        <v>76</v>
      </c>
      <c r="B35" s="1">
        <v>0.266666666666666</v>
      </c>
    </row>
    <row r="36">
      <c r="A36" s="1" t="s">
        <v>88</v>
      </c>
      <c r="B36" s="1">
        <v>0.571428571428571</v>
      </c>
    </row>
    <row r="37">
      <c r="A37" s="1" t="s">
        <v>41</v>
      </c>
      <c r="B37" s="1">
        <v>0.310344827586206</v>
      </c>
    </row>
    <row r="38">
      <c r="A38" s="1" t="s">
        <v>104</v>
      </c>
      <c r="B38" s="1">
        <v>0.407407407407407</v>
      </c>
    </row>
    <row r="39">
      <c r="A39" s="1" t="s">
        <v>295</v>
      </c>
      <c r="B39" s="1">
        <v>0.0</v>
      </c>
    </row>
    <row r="40">
      <c r="A40" s="1" t="s">
        <v>299</v>
      </c>
      <c r="B40" s="1">
        <v>1.0</v>
      </c>
    </row>
    <row r="41">
      <c r="A41" s="1" t="s">
        <v>133</v>
      </c>
      <c r="B41" s="1">
        <v>0.15</v>
      </c>
    </row>
    <row r="42">
      <c r="A42" s="1" t="s">
        <v>306</v>
      </c>
      <c r="B42" s="1">
        <v>0.0</v>
      </c>
    </row>
    <row r="43">
      <c r="A43" s="1" t="s">
        <v>67</v>
      </c>
      <c r="B43" s="1">
        <v>0.433333333333333</v>
      </c>
    </row>
    <row r="44">
      <c r="A44" s="1" t="s">
        <v>108</v>
      </c>
      <c r="B44" s="1">
        <v>0.0</v>
      </c>
    </row>
    <row r="45">
      <c r="A45" s="1" t="s">
        <v>316</v>
      </c>
      <c r="B45" s="1">
        <v>0.5</v>
      </c>
    </row>
    <row r="46">
      <c r="A46" s="1" t="s">
        <v>39</v>
      </c>
      <c r="B46" s="1">
        <v>0.565217391304347</v>
      </c>
    </row>
    <row r="47">
      <c r="A47" s="1" t="s">
        <v>56</v>
      </c>
      <c r="B47" s="1">
        <v>0.52</v>
      </c>
    </row>
    <row r="48">
      <c r="A48" s="1" t="s">
        <v>55</v>
      </c>
      <c r="B48" s="1">
        <v>0.869565217391304</v>
      </c>
    </row>
    <row r="49">
      <c r="A49" s="1" t="s">
        <v>78</v>
      </c>
      <c r="B49" s="1">
        <v>0.809523809523809</v>
      </c>
    </row>
    <row r="50">
      <c r="A50" s="1" t="s">
        <v>332</v>
      </c>
      <c r="B50" s="1">
        <v>0.5</v>
      </c>
    </row>
    <row r="51">
      <c r="A51" s="1" t="s">
        <v>83</v>
      </c>
      <c r="B51" s="1">
        <v>1.0</v>
      </c>
    </row>
    <row r="52">
      <c r="A52" s="1" t="s">
        <v>34</v>
      </c>
      <c r="B52" s="1">
        <v>1.0</v>
      </c>
    </row>
    <row r="53">
      <c r="A53" s="1" t="s">
        <v>134</v>
      </c>
      <c r="B53" s="1">
        <v>0.545454545454545</v>
      </c>
    </row>
    <row r="54">
      <c r="A54" s="1" t="s">
        <v>81</v>
      </c>
      <c r="B54" s="1">
        <v>0.666666666666666</v>
      </c>
    </row>
    <row r="55">
      <c r="A55" s="1" t="s">
        <v>80</v>
      </c>
      <c r="B55" s="1">
        <v>0.428571428571428</v>
      </c>
    </row>
    <row r="56">
      <c r="A56" s="1" t="s">
        <v>113</v>
      </c>
      <c r="B56" s="1">
        <v>0.291666666666666</v>
      </c>
    </row>
    <row r="57">
      <c r="A57" s="1" t="s">
        <v>354</v>
      </c>
      <c r="B57" s="1">
        <v>0.0</v>
      </c>
    </row>
    <row r="58">
      <c r="A58" s="1" t="s">
        <v>126</v>
      </c>
      <c r="B58" s="1">
        <v>0.111111111111111</v>
      </c>
    </row>
    <row r="59">
      <c r="A59" s="1" t="s">
        <v>102</v>
      </c>
      <c r="B59" s="1">
        <v>0.444444444444444</v>
      </c>
    </row>
    <row r="60">
      <c r="A60" s="1" t="s">
        <v>117</v>
      </c>
      <c r="B60" s="1">
        <v>0.0</v>
      </c>
    </row>
    <row r="61">
      <c r="A61" s="1" t="s">
        <v>64</v>
      </c>
      <c r="B61" s="1">
        <v>0.666666666666666</v>
      </c>
    </row>
    <row r="62">
      <c r="A62" s="1" t="s">
        <v>36</v>
      </c>
      <c r="B62" s="1">
        <v>0.545454545454545</v>
      </c>
    </row>
    <row r="63">
      <c r="A63" s="1" t="s">
        <v>49</v>
      </c>
      <c r="B63" s="1">
        <v>0.0</v>
      </c>
    </row>
    <row r="64">
      <c r="A64" s="1" t="s">
        <v>132</v>
      </c>
      <c r="B64" s="1">
        <v>0.214285714285714</v>
      </c>
    </row>
    <row r="65">
      <c r="A65" s="1" t="s">
        <v>45</v>
      </c>
      <c r="B65" s="1">
        <v>0.863636363636363</v>
      </c>
    </row>
    <row r="66">
      <c r="A66" s="1" t="s">
        <v>382</v>
      </c>
      <c r="B66" s="1">
        <v>1.0</v>
      </c>
    </row>
    <row r="67">
      <c r="A67" s="1" t="s">
        <v>386</v>
      </c>
      <c r="B67" s="1">
        <v>0.5</v>
      </c>
    </row>
    <row r="68">
      <c r="A68" s="1" t="s">
        <v>128</v>
      </c>
      <c r="B68" s="1">
        <v>0.3</v>
      </c>
    </row>
    <row r="69">
      <c r="A69" s="1" t="s">
        <v>57</v>
      </c>
      <c r="B69" s="1">
        <v>0.272727272727272</v>
      </c>
    </row>
    <row r="70">
      <c r="A70" s="1" t="s">
        <v>127</v>
      </c>
      <c r="B70" s="1">
        <v>0.25</v>
      </c>
    </row>
    <row r="71">
      <c r="A71" s="1" t="s">
        <v>58</v>
      </c>
      <c r="B71" s="1">
        <v>0.642857142857142</v>
      </c>
    </row>
    <row r="72">
      <c r="A72" s="1" t="s">
        <v>85</v>
      </c>
      <c r="B72" s="1">
        <v>0.5</v>
      </c>
    </row>
    <row r="73">
      <c r="A73" s="1" t="s">
        <v>54</v>
      </c>
      <c r="B73" s="1">
        <v>0.6</v>
      </c>
    </row>
    <row r="74">
      <c r="A74" s="1" t="s">
        <v>121</v>
      </c>
      <c r="B74" s="1">
        <v>0.222222222222222</v>
      </c>
    </row>
    <row r="75">
      <c r="A75" s="1" t="s">
        <v>70</v>
      </c>
      <c r="B75" s="1">
        <v>0.612903225806451</v>
      </c>
    </row>
    <row r="76">
      <c r="A76" s="1" t="s">
        <v>37</v>
      </c>
      <c r="B76" s="1">
        <v>0.0</v>
      </c>
    </row>
    <row r="77">
      <c r="A77" s="1" t="s">
        <v>35</v>
      </c>
      <c r="B77" s="1">
        <v>0.55</v>
      </c>
    </row>
    <row r="78">
      <c r="A78" s="1" t="s">
        <v>44</v>
      </c>
      <c r="B78" s="1">
        <v>0.857142857142857</v>
      </c>
    </row>
    <row r="79">
      <c r="A79" s="1" t="s">
        <v>91</v>
      </c>
      <c r="B79" s="1">
        <v>0.833333333333333</v>
      </c>
    </row>
    <row r="80">
      <c r="A80" s="1" t="s">
        <v>50</v>
      </c>
      <c r="B80" s="1">
        <v>0.391304347826087</v>
      </c>
    </row>
    <row r="81">
      <c r="A81" s="1" t="s">
        <v>429</v>
      </c>
      <c r="B81" s="1">
        <v>1.0</v>
      </c>
    </row>
    <row r="82">
      <c r="A82" s="1" t="s">
        <v>84</v>
      </c>
      <c r="B82" s="1">
        <v>0.384615384615384</v>
      </c>
    </row>
    <row r="83">
      <c r="A83" s="1" t="s">
        <v>136</v>
      </c>
      <c r="B83" s="1">
        <v>0.75</v>
      </c>
    </row>
    <row r="84">
      <c r="A84" s="1" t="s">
        <v>130</v>
      </c>
      <c r="B84" s="1">
        <v>0.0</v>
      </c>
    </row>
    <row r="85">
      <c r="A85" s="1" t="s">
        <v>112</v>
      </c>
      <c r="B85" s="1">
        <v>0.2</v>
      </c>
    </row>
    <row r="86">
      <c r="A86" s="1" t="s">
        <v>97</v>
      </c>
      <c r="B86" s="1">
        <v>0.521739130434782</v>
      </c>
    </row>
    <row r="87">
      <c r="A87" s="1" t="s">
        <v>53</v>
      </c>
      <c r="B87" s="1">
        <v>0.857142857142857</v>
      </c>
    </row>
    <row r="88">
      <c r="A88" s="1" t="s">
        <v>451</v>
      </c>
      <c r="B88" s="1">
        <v>0.0</v>
      </c>
    </row>
    <row r="89">
      <c r="A89" s="1" t="s">
        <v>82</v>
      </c>
      <c r="B89" s="1">
        <v>0.0</v>
      </c>
    </row>
    <row r="90">
      <c r="A90" s="1" t="s">
        <v>131</v>
      </c>
      <c r="B90" s="1">
        <v>0.363636363636363</v>
      </c>
    </row>
    <row r="91">
      <c r="A91" s="1" t="s">
        <v>119</v>
      </c>
      <c r="B91" s="1">
        <v>0.5</v>
      </c>
    </row>
    <row r="92">
      <c r="A92" s="1" t="s">
        <v>33</v>
      </c>
      <c r="B92" s="1">
        <v>0.761904761904761</v>
      </c>
    </row>
    <row r="93">
      <c r="A93" s="1" t="s">
        <v>124</v>
      </c>
      <c r="B93" s="1">
        <v>0.25</v>
      </c>
    </row>
    <row r="94">
      <c r="A94" s="1" t="s">
        <v>470</v>
      </c>
      <c r="B94" s="1">
        <v>0.666666666666666</v>
      </c>
    </row>
    <row r="95">
      <c r="A95" s="1" t="s">
        <v>38</v>
      </c>
      <c r="B95" s="1">
        <v>0.5</v>
      </c>
    </row>
    <row r="96">
      <c r="A96" s="1" t="s">
        <v>65</v>
      </c>
      <c r="B96" s="1">
        <v>0.142857142857142</v>
      </c>
    </row>
    <row r="97">
      <c r="A97" s="1" t="s">
        <v>43</v>
      </c>
      <c r="B97" s="1">
        <v>0.888888888888888</v>
      </c>
    </row>
    <row r="98">
      <c r="A98" s="1" t="s">
        <v>93</v>
      </c>
      <c r="B98" s="1">
        <v>0.5</v>
      </c>
    </row>
    <row r="99">
      <c r="A99" s="1" t="s">
        <v>103</v>
      </c>
      <c r="B99" s="1">
        <v>0.6</v>
      </c>
    </row>
    <row r="100">
      <c r="A100" s="1" t="s">
        <v>31</v>
      </c>
      <c r="B100" s="1">
        <v>0.2</v>
      </c>
    </row>
    <row r="101">
      <c r="A101" s="1" t="s">
        <v>492</v>
      </c>
      <c r="B101" s="1">
        <v>0.5</v>
      </c>
    </row>
    <row r="102">
      <c r="A102" s="1" t="s">
        <v>73</v>
      </c>
      <c r="B102" s="1">
        <v>0.4</v>
      </c>
    </row>
    <row r="103">
      <c r="A103" s="1" t="s">
        <v>42</v>
      </c>
      <c r="B103" s="1">
        <v>0.555555555555555</v>
      </c>
    </row>
    <row r="104">
      <c r="A104" s="1" t="s">
        <v>99</v>
      </c>
      <c r="B104" s="1">
        <v>0.857142857142857</v>
      </c>
    </row>
    <row r="105">
      <c r="A105" s="1" t="s">
        <v>109</v>
      </c>
      <c r="B105" s="1">
        <v>0.625</v>
      </c>
    </row>
    <row r="106">
      <c r="A106" s="1" t="s">
        <v>30</v>
      </c>
      <c r="B106" s="1">
        <v>0.611111111111111</v>
      </c>
    </row>
    <row r="107">
      <c r="A107" s="1" t="s">
        <v>66</v>
      </c>
      <c r="B107" s="1">
        <v>0.4</v>
      </c>
    </row>
    <row r="108">
      <c r="A108" s="1" t="s">
        <v>68</v>
      </c>
      <c r="B108" s="1">
        <v>0.2</v>
      </c>
    </row>
    <row r="109">
      <c r="A109" s="1" t="s">
        <v>74</v>
      </c>
      <c r="B109" s="1">
        <v>0.888888888888888</v>
      </c>
    </row>
    <row r="110">
      <c r="A110" s="1" t="s">
        <v>123</v>
      </c>
      <c r="B110" s="1">
        <v>0.409090909090909</v>
      </c>
    </row>
    <row r="111">
      <c r="A111" s="1" t="s">
        <v>90</v>
      </c>
      <c r="B111" s="1">
        <v>0.583333333333333</v>
      </c>
    </row>
    <row r="112">
      <c r="A112" s="1" t="s">
        <v>40</v>
      </c>
      <c r="B112" s="1">
        <v>0.416666666666666</v>
      </c>
    </row>
    <row r="113">
      <c r="A113" s="1" t="s">
        <v>52</v>
      </c>
      <c r="B113" s="1">
        <v>0.214285714285714</v>
      </c>
    </row>
    <row r="114">
      <c r="A114" s="1" t="s">
        <v>107</v>
      </c>
      <c r="B114" s="1">
        <v>0.064516129032258</v>
      </c>
    </row>
    <row r="115">
      <c r="A115" s="1" t="s">
        <v>105</v>
      </c>
      <c r="B115" s="1">
        <v>0.555555555555555</v>
      </c>
    </row>
    <row r="116">
      <c r="A116" s="1" t="s">
        <v>47</v>
      </c>
      <c r="B116" s="1">
        <v>0.916666666666666</v>
      </c>
    </row>
    <row r="117">
      <c r="A117" s="1" t="s">
        <v>541</v>
      </c>
      <c r="B117" s="1">
        <v>0.5</v>
      </c>
    </row>
    <row r="118">
      <c r="A118" s="1" t="s">
        <v>98</v>
      </c>
      <c r="B118" s="1">
        <v>0.25</v>
      </c>
    </row>
    <row r="119">
      <c r="A119" s="1" t="s">
        <v>548</v>
      </c>
      <c r="B119" s="1">
        <v>0.0</v>
      </c>
    </row>
    <row r="120">
      <c r="A120" s="1" t="s">
        <v>92</v>
      </c>
      <c r="B120" s="1">
        <v>0.842105263157894</v>
      </c>
    </row>
    <row r="121">
      <c r="A121" s="1" t="s">
        <v>62</v>
      </c>
      <c r="B121" s="1">
        <v>0.0</v>
      </c>
    </row>
    <row r="122">
      <c r="A122" s="1" t="s">
        <v>61</v>
      </c>
      <c r="B122" s="1">
        <v>0.696969696969697</v>
      </c>
    </row>
    <row r="123">
      <c r="A123" s="1" t="s">
        <v>101</v>
      </c>
      <c r="B123" s="1">
        <v>0.75</v>
      </c>
    </row>
    <row r="124">
      <c r="A124" s="1" t="s">
        <v>564</v>
      </c>
      <c r="B124" s="1">
        <v>1.0</v>
      </c>
    </row>
    <row r="125">
      <c r="A125" s="1" t="s">
        <v>106</v>
      </c>
      <c r="B125" s="1">
        <v>0.642857142857142</v>
      </c>
    </row>
    <row r="126">
      <c r="A126" s="1" t="s">
        <v>89</v>
      </c>
      <c r="B126" s="1">
        <v>0.0</v>
      </c>
    </row>
    <row r="127">
      <c r="A127" s="1" t="s">
        <v>75</v>
      </c>
      <c r="B127" s="1">
        <v>0.344827586206896</v>
      </c>
    </row>
    <row r="128">
      <c r="A128" s="1" t="s">
        <v>114</v>
      </c>
      <c r="B128" s="1">
        <v>0.304347826086956</v>
      </c>
    </row>
    <row r="129">
      <c r="A129" s="1" t="s">
        <v>59</v>
      </c>
      <c r="B129" s="1">
        <v>0.411764705882352</v>
      </c>
    </row>
    <row r="130">
      <c r="A130" s="1" t="s">
        <v>125</v>
      </c>
      <c r="B130" s="1">
        <v>0.615384615384615</v>
      </c>
    </row>
    <row r="131">
      <c r="A131" s="1" t="s">
        <v>51</v>
      </c>
      <c r="B131" s="1">
        <v>0.0</v>
      </c>
    </row>
    <row r="132">
      <c r="A132" s="1" t="s">
        <v>72</v>
      </c>
      <c r="B132" s="1">
        <v>0.142857142857142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972</v>
      </c>
    </row>
    <row r="2">
      <c r="A2" s="1" t="s">
        <v>79</v>
      </c>
      <c r="B2" s="1">
        <v>0.0</v>
      </c>
    </row>
    <row r="3">
      <c r="A3" s="1" t="s">
        <v>60</v>
      </c>
      <c r="B3" s="1">
        <v>0.0</v>
      </c>
    </row>
    <row r="4">
      <c r="A4" s="1" t="s">
        <v>48</v>
      </c>
      <c r="B4" s="1">
        <v>0.107142857142857</v>
      </c>
    </row>
    <row r="5">
      <c r="A5" s="1" t="s">
        <v>69</v>
      </c>
      <c r="B5" s="1">
        <v>0.0</v>
      </c>
    </row>
    <row r="6">
      <c r="A6" s="1" t="s">
        <v>32</v>
      </c>
      <c r="B6" s="1">
        <v>0.333333333333333</v>
      </c>
    </row>
    <row r="7">
      <c r="A7" s="1" t="s">
        <v>71</v>
      </c>
      <c r="B7" s="1">
        <v>0.0</v>
      </c>
    </row>
    <row r="8">
      <c r="A8" s="1" t="s">
        <v>46</v>
      </c>
      <c r="B8" s="1">
        <v>0.0</v>
      </c>
    </row>
    <row r="9">
      <c r="A9" s="1" t="s">
        <v>111</v>
      </c>
      <c r="B9" s="1">
        <v>0.0625</v>
      </c>
    </row>
    <row r="10">
      <c r="A10" s="1" t="s">
        <v>205</v>
      </c>
      <c r="B10" s="1">
        <v>0.0172413793103448</v>
      </c>
    </row>
    <row r="11">
      <c r="A11" s="1" t="s">
        <v>135</v>
      </c>
      <c r="B11" s="1">
        <v>0.0</v>
      </c>
    </row>
    <row r="12">
      <c r="A12" s="1" t="s">
        <v>216</v>
      </c>
      <c r="B12" s="1">
        <v>0.0</v>
      </c>
    </row>
    <row r="13">
      <c r="A13" s="1" t="s">
        <v>95</v>
      </c>
      <c r="B13" s="1">
        <v>0.333333333333333</v>
      </c>
    </row>
    <row r="14">
      <c r="A14" s="1" t="s">
        <v>63</v>
      </c>
      <c r="B14" s="1">
        <v>0.117647058823529</v>
      </c>
    </row>
    <row r="15">
      <c r="A15" s="1" t="s">
        <v>86</v>
      </c>
      <c r="B15" s="1">
        <v>0.032258064516129</v>
      </c>
    </row>
    <row r="16">
      <c r="A16" s="1" t="s">
        <v>116</v>
      </c>
      <c r="B16" s="1">
        <v>0.153846153846153</v>
      </c>
    </row>
    <row r="17">
      <c r="A17" s="1" t="s">
        <v>96</v>
      </c>
      <c r="B17" s="1">
        <v>0.0</v>
      </c>
    </row>
    <row r="18">
      <c r="A18" s="1" t="s">
        <v>110</v>
      </c>
      <c r="B18" s="1">
        <v>0.0344827586206896</v>
      </c>
    </row>
    <row r="19">
      <c r="A19" s="1" t="s">
        <v>120</v>
      </c>
      <c r="B19" s="1">
        <v>0.125</v>
      </c>
    </row>
    <row r="20">
      <c r="A20" s="1" t="s">
        <v>77</v>
      </c>
      <c r="B20" s="1">
        <v>0.1</v>
      </c>
    </row>
    <row r="21">
      <c r="A21" s="1" t="s">
        <v>94</v>
      </c>
      <c r="B21" s="1">
        <v>0.08</v>
      </c>
    </row>
    <row r="22">
      <c r="A22" s="1" t="s">
        <v>87</v>
      </c>
      <c r="B22" s="1">
        <v>0.125</v>
      </c>
    </row>
    <row r="23">
      <c r="A23" s="1" t="s">
        <v>29</v>
      </c>
      <c r="B23" s="1">
        <v>0.25</v>
      </c>
    </row>
    <row r="24">
      <c r="A24" s="1" t="s">
        <v>129</v>
      </c>
      <c r="B24" s="1">
        <v>0.25</v>
      </c>
    </row>
    <row r="25">
      <c r="A25" s="1" t="s">
        <v>100</v>
      </c>
      <c r="B25" s="1">
        <v>0.0</v>
      </c>
    </row>
    <row r="26">
      <c r="A26" s="1" t="s">
        <v>122</v>
      </c>
      <c r="B26" s="1">
        <v>0.0344827586206896</v>
      </c>
    </row>
    <row r="27">
      <c r="A27" s="1" t="s">
        <v>137</v>
      </c>
      <c r="B27" s="1">
        <v>0.0</v>
      </c>
    </row>
    <row r="28">
      <c r="A28" s="1" t="s">
        <v>118</v>
      </c>
      <c r="B28" s="1">
        <v>0.0</v>
      </c>
    </row>
    <row r="29">
      <c r="A29" s="1" t="s">
        <v>276</v>
      </c>
      <c r="B29" s="1">
        <v>0.0</v>
      </c>
    </row>
    <row r="30">
      <c r="A30" s="1" t="s">
        <v>115</v>
      </c>
      <c r="B30" s="1">
        <v>0.0</v>
      </c>
    </row>
    <row r="31">
      <c r="A31" s="1" t="s">
        <v>76</v>
      </c>
      <c r="B31" s="1">
        <v>0.0714285714285714</v>
      </c>
    </row>
    <row r="32">
      <c r="A32" s="1" t="s">
        <v>88</v>
      </c>
      <c r="B32" s="1">
        <v>0.333333333333333</v>
      </c>
    </row>
    <row r="33">
      <c r="A33" s="1" t="s">
        <v>41</v>
      </c>
      <c r="B33" s="1">
        <v>0.0357142857142857</v>
      </c>
    </row>
    <row r="34">
      <c r="A34" s="1" t="s">
        <v>104</v>
      </c>
      <c r="B34" s="1">
        <v>0.0384615384615384</v>
      </c>
    </row>
    <row r="35">
      <c r="A35" s="1" t="s">
        <v>133</v>
      </c>
      <c r="B35" s="1">
        <v>0.0</v>
      </c>
    </row>
    <row r="36">
      <c r="A36" s="1" t="s">
        <v>67</v>
      </c>
      <c r="B36" s="1">
        <v>0.0169491525423728</v>
      </c>
    </row>
    <row r="37">
      <c r="A37" s="1" t="s">
        <v>108</v>
      </c>
      <c r="B37" s="1">
        <v>0.0</v>
      </c>
    </row>
    <row r="38">
      <c r="A38" s="1" t="s">
        <v>316</v>
      </c>
      <c r="B38" s="1">
        <v>0.0</v>
      </c>
    </row>
    <row r="39">
      <c r="A39" s="1" t="s">
        <v>39</v>
      </c>
      <c r="B39" s="1">
        <v>0.136363636363636</v>
      </c>
    </row>
    <row r="40">
      <c r="A40" s="1" t="s">
        <v>56</v>
      </c>
      <c r="B40" s="1">
        <v>0.0833333333333333</v>
      </c>
    </row>
    <row r="41">
      <c r="A41" s="1" t="s">
        <v>55</v>
      </c>
      <c r="B41" s="1">
        <v>0.0909090909090909</v>
      </c>
    </row>
    <row r="42">
      <c r="A42" s="1" t="s">
        <v>78</v>
      </c>
      <c r="B42" s="1">
        <v>0.1</v>
      </c>
    </row>
    <row r="43">
      <c r="A43" s="1" t="s">
        <v>332</v>
      </c>
      <c r="B43" s="1">
        <v>0.0</v>
      </c>
    </row>
    <row r="44">
      <c r="A44" s="1" t="s">
        <v>83</v>
      </c>
      <c r="B44" s="1">
        <v>0.666666666666666</v>
      </c>
    </row>
    <row r="45">
      <c r="A45" s="1" t="s">
        <v>34</v>
      </c>
      <c r="B45" s="1">
        <v>0.0909090909090909</v>
      </c>
    </row>
    <row r="46">
      <c r="A46" s="1" t="s">
        <v>134</v>
      </c>
      <c r="B46" s="1">
        <v>0.1</v>
      </c>
    </row>
    <row r="47">
      <c r="A47" s="1" t="s">
        <v>81</v>
      </c>
      <c r="B47" s="1">
        <v>0.2</v>
      </c>
    </row>
    <row r="48">
      <c r="A48" s="1" t="s">
        <v>80</v>
      </c>
      <c r="B48" s="1">
        <v>0.0</v>
      </c>
    </row>
    <row r="49">
      <c r="A49" s="1" t="s">
        <v>113</v>
      </c>
      <c r="B49" s="1">
        <v>0.0869565217391304</v>
      </c>
    </row>
    <row r="50">
      <c r="A50" s="1" t="s">
        <v>126</v>
      </c>
      <c r="B50" s="1">
        <v>0.0</v>
      </c>
    </row>
    <row r="51">
      <c r="A51" s="1" t="s">
        <v>102</v>
      </c>
      <c r="B51" s="1">
        <v>0.125</v>
      </c>
    </row>
    <row r="52">
      <c r="A52" s="1" t="s">
        <v>117</v>
      </c>
      <c r="B52" s="1">
        <v>0.0833333333333333</v>
      </c>
    </row>
    <row r="53">
      <c r="A53" s="1" t="s">
        <v>64</v>
      </c>
      <c r="B53" s="1">
        <v>0.375</v>
      </c>
    </row>
    <row r="54">
      <c r="A54" s="1" t="s">
        <v>36</v>
      </c>
      <c r="B54" s="1">
        <v>0.1</v>
      </c>
    </row>
    <row r="55">
      <c r="A55" s="1" t="s">
        <v>49</v>
      </c>
      <c r="B55" s="1">
        <v>0.133333333333333</v>
      </c>
    </row>
    <row r="56">
      <c r="A56" s="1" t="s">
        <v>132</v>
      </c>
      <c r="B56" s="1">
        <v>0.0</v>
      </c>
    </row>
    <row r="57">
      <c r="A57" s="1" t="s">
        <v>45</v>
      </c>
      <c r="B57" s="1">
        <v>0.0952380952380952</v>
      </c>
    </row>
    <row r="58">
      <c r="A58" s="1" t="s">
        <v>386</v>
      </c>
      <c r="B58" s="1">
        <v>0.0</v>
      </c>
    </row>
    <row r="59">
      <c r="A59" s="1" t="s">
        <v>128</v>
      </c>
      <c r="B59" s="1">
        <v>0.111111111111111</v>
      </c>
    </row>
    <row r="60">
      <c r="A60" s="1" t="s">
        <v>57</v>
      </c>
      <c r="B60" s="1">
        <v>0.2</v>
      </c>
    </row>
    <row r="61">
      <c r="A61" s="1" t="s">
        <v>127</v>
      </c>
      <c r="B61" s="1">
        <v>0.142857142857142</v>
      </c>
    </row>
    <row r="62">
      <c r="A62" s="1" t="s">
        <v>58</v>
      </c>
      <c r="B62" s="1">
        <v>0.0</v>
      </c>
    </row>
    <row r="63">
      <c r="A63" s="1" t="s">
        <v>85</v>
      </c>
      <c r="B63" s="1">
        <v>0.0</v>
      </c>
    </row>
    <row r="64">
      <c r="A64" s="1" t="s">
        <v>54</v>
      </c>
      <c r="B64" s="1">
        <v>0.222222222222222</v>
      </c>
    </row>
    <row r="65">
      <c r="A65" s="1" t="s">
        <v>121</v>
      </c>
      <c r="B65" s="1">
        <v>0.117647058823529</v>
      </c>
    </row>
    <row r="66">
      <c r="A66" s="1" t="s">
        <v>70</v>
      </c>
      <c r="B66" s="1">
        <v>0.0</v>
      </c>
    </row>
    <row r="67">
      <c r="A67" s="1" t="s">
        <v>37</v>
      </c>
      <c r="B67" s="1">
        <v>0.2</v>
      </c>
    </row>
    <row r="68">
      <c r="A68" s="1" t="s">
        <v>35</v>
      </c>
      <c r="B68" s="1">
        <v>0.157894736842105</v>
      </c>
    </row>
    <row r="69">
      <c r="A69" s="1" t="s">
        <v>44</v>
      </c>
      <c r="B69" s="1">
        <v>0.333333333333333</v>
      </c>
    </row>
    <row r="70">
      <c r="A70" s="1" t="s">
        <v>91</v>
      </c>
      <c r="B70" s="1">
        <v>0.0</v>
      </c>
    </row>
    <row r="71">
      <c r="A71" s="1" t="s">
        <v>50</v>
      </c>
      <c r="B71" s="1">
        <v>0.0909090909090909</v>
      </c>
    </row>
    <row r="72">
      <c r="A72" s="1" t="s">
        <v>429</v>
      </c>
      <c r="B72" s="1">
        <v>0.5</v>
      </c>
    </row>
    <row r="73">
      <c r="A73" s="1" t="s">
        <v>84</v>
      </c>
      <c r="B73" s="1">
        <v>0.25</v>
      </c>
    </row>
    <row r="74">
      <c r="A74" s="1" t="s">
        <v>136</v>
      </c>
      <c r="B74" s="1">
        <v>0.333333333333333</v>
      </c>
    </row>
    <row r="75">
      <c r="A75" s="1" t="s">
        <v>130</v>
      </c>
      <c r="B75" s="1">
        <v>0.0</v>
      </c>
    </row>
    <row r="76">
      <c r="A76" s="1" t="s">
        <v>112</v>
      </c>
      <c r="B76" s="1">
        <v>0.0</v>
      </c>
    </row>
    <row r="77">
      <c r="A77" s="1" t="s">
        <v>97</v>
      </c>
      <c r="B77" s="1">
        <v>0.136363636363636</v>
      </c>
    </row>
    <row r="78">
      <c r="A78" s="1" t="s">
        <v>53</v>
      </c>
      <c r="B78" s="1">
        <v>0.333333333333333</v>
      </c>
    </row>
    <row r="79">
      <c r="A79" s="1" t="s">
        <v>451</v>
      </c>
      <c r="B79" s="1">
        <v>0.0</v>
      </c>
    </row>
    <row r="80">
      <c r="A80" s="1" t="s">
        <v>82</v>
      </c>
      <c r="B80" s="1">
        <v>0.333333333333333</v>
      </c>
    </row>
    <row r="81">
      <c r="A81" s="1" t="s">
        <v>131</v>
      </c>
      <c r="B81" s="1">
        <v>0.1</v>
      </c>
    </row>
    <row r="82">
      <c r="A82" s="1" t="s">
        <v>119</v>
      </c>
      <c r="B82" s="1">
        <v>0.272727272727272</v>
      </c>
    </row>
    <row r="83">
      <c r="A83" s="1" t="s">
        <v>33</v>
      </c>
      <c r="B83" s="1">
        <v>0.25</v>
      </c>
    </row>
    <row r="84">
      <c r="A84" s="1" t="s">
        <v>124</v>
      </c>
      <c r="B84" s="1">
        <v>0.0</v>
      </c>
    </row>
    <row r="85">
      <c r="A85" s="1" t="s">
        <v>470</v>
      </c>
      <c r="B85" s="1">
        <v>0.0</v>
      </c>
    </row>
    <row r="86">
      <c r="A86" s="1" t="s">
        <v>38</v>
      </c>
      <c r="B86" s="1">
        <v>0.0</v>
      </c>
    </row>
    <row r="87">
      <c r="A87" s="1" t="s">
        <v>65</v>
      </c>
      <c r="B87" s="1">
        <v>0.0</v>
      </c>
    </row>
    <row r="88">
      <c r="A88" s="1" t="s">
        <v>43</v>
      </c>
      <c r="B88" s="1">
        <v>0.0</v>
      </c>
    </row>
    <row r="89">
      <c r="A89" s="1" t="s">
        <v>93</v>
      </c>
      <c r="B89" s="1">
        <v>0.0</v>
      </c>
    </row>
    <row r="90">
      <c r="A90" s="1" t="s">
        <v>103</v>
      </c>
      <c r="B90" s="1">
        <v>0.222222222222222</v>
      </c>
    </row>
    <row r="91">
      <c r="A91" s="1" t="s">
        <v>31</v>
      </c>
      <c r="B91" s="1">
        <v>0.0</v>
      </c>
    </row>
    <row r="92">
      <c r="A92" s="1" t="s">
        <v>492</v>
      </c>
      <c r="B92" s="1">
        <v>0.0</v>
      </c>
    </row>
    <row r="93">
      <c r="A93" s="1" t="s">
        <v>73</v>
      </c>
      <c r="B93" s="1">
        <v>0.0689655172413793</v>
      </c>
    </row>
    <row r="94">
      <c r="A94" s="1" t="s">
        <v>42</v>
      </c>
      <c r="B94" s="1">
        <v>0.0588235294117647</v>
      </c>
    </row>
    <row r="95">
      <c r="A95" s="1" t="s">
        <v>99</v>
      </c>
      <c r="B95" s="1">
        <v>0.0</v>
      </c>
    </row>
    <row r="96">
      <c r="A96" s="1" t="s">
        <v>109</v>
      </c>
      <c r="B96" s="1">
        <v>0.2</v>
      </c>
    </row>
    <row r="97">
      <c r="A97" s="1" t="s">
        <v>30</v>
      </c>
      <c r="B97" s="1">
        <v>0.0285714285714285</v>
      </c>
    </row>
    <row r="98">
      <c r="A98" s="1" t="s">
        <v>66</v>
      </c>
      <c r="B98" s="1">
        <v>0.0</v>
      </c>
    </row>
    <row r="99">
      <c r="A99" s="1" t="s">
        <v>68</v>
      </c>
      <c r="B99" s="1">
        <v>0.25</v>
      </c>
    </row>
    <row r="100">
      <c r="A100" s="1" t="s">
        <v>74</v>
      </c>
      <c r="B100" s="1">
        <v>0.117647058823529</v>
      </c>
    </row>
    <row r="101">
      <c r="A101" s="1" t="s">
        <v>123</v>
      </c>
      <c r="B101" s="1">
        <v>0.142857142857142</v>
      </c>
    </row>
    <row r="102">
      <c r="A102" s="1" t="s">
        <v>90</v>
      </c>
      <c r="B102" s="1">
        <v>0.0869565217391304</v>
      </c>
    </row>
    <row r="103">
      <c r="A103" s="1" t="s">
        <v>40</v>
      </c>
      <c r="B103" s="1">
        <v>0.0</v>
      </c>
    </row>
    <row r="104">
      <c r="A104" s="1" t="s">
        <v>52</v>
      </c>
      <c r="B104" s="1">
        <v>0.0769230769230769</v>
      </c>
    </row>
    <row r="105">
      <c r="A105" s="1" t="s">
        <v>107</v>
      </c>
      <c r="B105" s="1">
        <v>0.1</v>
      </c>
    </row>
    <row r="106">
      <c r="A106" s="1" t="s">
        <v>105</v>
      </c>
      <c r="B106" s="1">
        <v>0.25</v>
      </c>
    </row>
    <row r="107">
      <c r="A107" s="1" t="s">
        <v>47</v>
      </c>
      <c r="B107" s="1">
        <v>0.181818181818181</v>
      </c>
    </row>
    <row r="108">
      <c r="A108" s="1" t="s">
        <v>541</v>
      </c>
      <c r="B108" s="1">
        <v>0.0</v>
      </c>
    </row>
    <row r="109">
      <c r="A109" s="1" t="s">
        <v>98</v>
      </c>
      <c r="B109" s="1">
        <v>0.0</v>
      </c>
    </row>
    <row r="110">
      <c r="A110" s="1" t="s">
        <v>548</v>
      </c>
      <c r="B110" s="1">
        <v>0.0</v>
      </c>
    </row>
    <row r="111">
      <c r="A111" s="1" t="s">
        <v>92</v>
      </c>
      <c r="B111" s="1">
        <v>0.0</v>
      </c>
    </row>
    <row r="112">
      <c r="A112" s="1" t="s">
        <v>62</v>
      </c>
      <c r="B112" s="1">
        <v>0.0</v>
      </c>
    </row>
    <row r="113">
      <c r="A113" s="1" t="s">
        <v>61</v>
      </c>
      <c r="B113" s="1">
        <v>0.03125</v>
      </c>
    </row>
    <row r="114">
      <c r="A114" s="1" t="s">
        <v>101</v>
      </c>
      <c r="B114" s="1">
        <v>0.333333333333333</v>
      </c>
    </row>
    <row r="115">
      <c r="A115" s="1" t="s">
        <v>106</v>
      </c>
      <c r="B115" s="1">
        <v>0.0769230769230769</v>
      </c>
    </row>
    <row r="116">
      <c r="A116" s="1" t="s">
        <v>89</v>
      </c>
      <c r="B116" s="1">
        <v>0.214285714285714</v>
      </c>
    </row>
    <row r="117">
      <c r="A117" s="1" t="s">
        <v>75</v>
      </c>
      <c r="B117" s="1">
        <v>0.0</v>
      </c>
    </row>
    <row r="118">
      <c r="A118" s="1" t="s">
        <v>114</v>
      </c>
      <c r="B118" s="1">
        <v>0.0454545454545454</v>
      </c>
    </row>
    <row r="119">
      <c r="A119" s="1" t="s">
        <v>59</v>
      </c>
      <c r="B119" s="1">
        <v>0.0625</v>
      </c>
    </row>
    <row r="120">
      <c r="A120" s="1" t="s">
        <v>125</v>
      </c>
      <c r="B120" s="1">
        <v>0.166666666666666</v>
      </c>
    </row>
    <row r="121">
      <c r="A121" s="1" t="s">
        <v>51</v>
      </c>
      <c r="B121" s="1">
        <v>0.1</v>
      </c>
    </row>
    <row r="122">
      <c r="A122" s="1" t="s">
        <v>72</v>
      </c>
      <c r="B122" s="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973</v>
      </c>
    </row>
    <row r="2">
      <c r="A2" s="1" t="s">
        <v>79</v>
      </c>
      <c r="B2" s="21">
        <v>0.9565215</v>
      </c>
    </row>
    <row r="3">
      <c r="A3" s="1" t="s">
        <v>180</v>
      </c>
      <c r="B3" s="21">
        <v>0.0</v>
      </c>
    </row>
    <row r="4">
      <c r="A4" s="1" t="s">
        <v>60</v>
      </c>
      <c r="B4" s="21">
        <v>0.2</v>
      </c>
    </row>
    <row r="5">
      <c r="A5" s="1" t="s">
        <v>48</v>
      </c>
      <c r="B5" s="21">
        <v>0.87335797</v>
      </c>
    </row>
    <row r="6">
      <c r="A6" s="1" t="s">
        <v>69</v>
      </c>
      <c r="B6" s="21">
        <v>0.74572175</v>
      </c>
    </row>
    <row r="7">
      <c r="A7" s="1" t="s">
        <v>32</v>
      </c>
      <c r="B7" s="21">
        <v>0.43</v>
      </c>
    </row>
    <row r="8">
      <c r="A8" s="1" t="s">
        <v>71</v>
      </c>
      <c r="B8" s="21">
        <v>0.82559527</v>
      </c>
    </row>
    <row r="9">
      <c r="A9" s="1" t="s">
        <v>46</v>
      </c>
      <c r="B9" s="21">
        <v>0.73544978</v>
      </c>
    </row>
    <row r="10">
      <c r="A10" s="1" t="s">
        <v>111</v>
      </c>
      <c r="B10" s="21">
        <v>0.25668447</v>
      </c>
    </row>
    <row r="11">
      <c r="A11" s="1" t="s">
        <v>205</v>
      </c>
      <c r="B11" s="21">
        <v>0.13947741</v>
      </c>
    </row>
    <row r="12">
      <c r="A12" s="1" t="s">
        <v>135</v>
      </c>
      <c r="B12" s="21">
        <v>0.5251552</v>
      </c>
    </row>
    <row r="13">
      <c r="A13" s="1" t="s">
        <v>212</v>
      </c>
      <c r="B13" s="21">
        <v>0.0</v>
      </c>
    </row>
    <row r="14">
      <c r="A14" s="1" t="s">
        <v>216</v>
      </c>
      <c r="B14" s="21">
        <v>0.8913045</v>
      </c>
    </row>
    <row r="15">
      <c r="A15" s="1" t="s">
        <v>95</v>
      </c>
      <c r="B15" s="21">
        <v>0.67445054</v>
      </c>
    </row>
    <row r="16">
      <c r="A16" s="1" t="s">
        <v>63</v>
      </c>
      <c r="B16" s="21">
        <v>0.41388889</v>
      </c>
    </row>
    <row r="17">
      <c r="A17" s="1" t="s">
        <v>86</v>
      </c>
      <c r="B17" s="21">
        <v>0.35602675</v>
      </c>
    </row>
    <row r="18">
      <c r="A18" s="1" t="s">
        <v>116</v>
      </c>
      <c r="B18" s="21">
        <v>0.83724307</v>
      </c>
    </row>
    <row r="19">
      <c r="A19" s="1" t="s">
        <v>96</v>
      </c>
      <c r="B19" s="21">
        <v>0.66666671</v>
      </c>
    </row>
    <row r="20">
      <c r="A20" s="1" t="s">
        <v>235</v>
      </c>
      <c r="B20" s="21">
        <v>1.0</v>
      </c>
    </row>
    <row r="21">
      <c r="A21" s="1" t="s">
        <v>110</v>
      </c>
      <c r="B21" s="21">
        <v>0.22630303</v>
      </c>
    </row>
    <row r="22">
      <c r="A22" s="1" t="s">
        <v>120</v>
      </c>
      <c r="B22" s="21">
        <v>0.67851659</v>
      </c>
    </row>
    <row r="23">
      <c r="A23" s="1" t="s">
        <v>77</v>
      </c>
      <c r="B23" s="21">
        <v>0.33734255</v>
      </c>
    </row>
    <row r="24">
      <c r="A24" s="1" t="s">
        <v>94</v>
      </c>
      <c r="B24" s="21">
        <v>0.28227772</v>
      </c>
    </row>
    <row r="25">
      <c r="A25" s="1" t="s">
        <v>87</v>
      </c>
      <c r="B25" s="21">
        <v>0.59788367</v>
      </c>
    </row>
    <row r="26">
      <c r="A26" s="1" t="s">
        <v>29</v>
      </c>
      <c r="B26" s="21">
        <v>0.4</v>
      </c>
    </row>
    <row r="27">
      <c r="A27" s="1" t="s">
        <v>257</v>
      </c>
      <c r="B27" s="21">
        <v>1.0</v>
      </c>
    </row>
    <row r="28">
      <c r="A28" s="1" t="s">
        <v>129</v>
      </c>
      <c r="B28" s="21">
        <v>0.7545456</v>
      </c>
    </row>
    <row r="29">
      <c r="A29" s="1" t="s">
        <v>100</v>
      </c>
      <c r="B29" s="21">
        <v>0.0</v>
      </c>
    </row>
    <row r="30">
      <c r="A30" s="1" t="s">
        <v>122</v>
      </c>
      <c r="B30" s="21">
        <v>0.561137</v>
      </c>
    </row>
    <row r="31">
      <c r="A31" s="1" t="s">
        <v>137</v>
      </c>
      <c r="B31" s="21">
        <v>0.38636383</v>
      </c>
    </row>
    <row r="32">
      <c r="A32" s="1" t="s">
        <v>118</v>
      </c>
      <c r="B32" s="21">
        <v>0.41666667</v>
      </c>
    </row>
    <row r="33">
      <c r="A33" s="1" t="s">
        <v>276</v>
      </c>
      <c r="B33" s="21">
        <v>0.0</v>
      </c>
    </row>
    <row r="34">
      <c r="A34" s="1" t="s">
        <v>115</v>
      </c>
      <c r="B34" s="21">
        <v>0.42</v>
      </c>
    </row>
    <row r="35">
      <c r="A35" s="1" t="s">
        <v>76</v>
      </c>
      <c r="B35" s="21">
        <v>0.22028987</v>
      </c>
    </row>
    <row r="36">
      <c r="A36" s="1" t="s">
        <v>88</v>
      </c>
      <c r="B36" s="21">
        <v>0.43428571</v>
      </c>
    </row>
    <row r="37">
      <c r="A37" s="1" t="s">
        <v>41</v>
      </c>
      <c r="B37" s="21">
        <v>0.27032021</v>
      </c>
    </row>
    <row r="38">
      <c r="A38" s="1" t="s">
        <v>104</v>
      </c>
      <c r="B38" s="21">
        <v>0.2323233</v>
      </c>
    </row>
    <row r="39">
      <c r="A39" s="1" t="s">
        <v>295</v>
      </c>
      <c r="B39" s="21">
        <v>0.0</v>
      </c>
    </row>
    <row r="40">
      <c r="A40" s="1" t="s">
        <v>299</v>
      </c>
      <c r="B40" s="21">
        <v>0.782609</v>
      </c>
    </row>
    <row r="41">
      <c r="A41" s="1" t="s">
        <v>133</v>
      </c>
      <c r="B41" s="21">
        <v>0.14347825</v>
      </c>
    </row>
    <row r="42">
      <c r="A42" s="1" t="s">
        <v>306</v>
      </c>
      <c r="B42" s="21">
        <v>0.0</v>
      </c>
    </row>
    <row r="43">
      <c r="A43" s="1" t="s">
        <v>67</v>
      </c>
      <c r="B43" s="21">
        <v>0.41845237</v>
      </c>
    </row>
    <row r="44">
      <c r="A44" s="1" t="s">
        <v>108</v>
      </c>
      <c r="B44" s="21">
        <v>0.0</v>
      </c>
    </row>
    <row r="45">
      <c r="A45" s="1" t="s">
        <v>316</v>
      </c>
      <c r="B45" s="21">
        <v>0.5</v>
      </c>
    </row>
    <row r="46">
      <c r="A46" s="1" t="s">
        <v>39</v>
      </c>
      <c r="B46" s="21">
        <v>0.40518396</v>
      </c>
    </row>
    <row r="47">
      <c r="A47" s="1" t="s">
        <v>56</v>
      </c>
      <c r="B47" s="21">
        <v>0.4624638</v>
      </c>
    </row>
    <row r="48">
      <c r="A48" s="1" t="s">
        <v>55</v>
      </c>
      <c r="B48" s="21">
        <v>0.6788357</v>
      </c>
    </row>
    <row r="49">
      <c r="A49" s="1" t="s">
        <v>78</v>
      </c>
      <c r="B49" s="21">
        <v>0.3177551</v>
      </c>
    </row>
    <row r="50">
      <c r="A50" s="1" t="s">
        <v>332</v>
      </c>
      <c r="B50" s="21">
        <v>0.5</v>
      </c>
    </row>
    <row r="51">
      <c r="A51" s="1" t="s">
        <v>83</v>
      </c>
      <c r="B51" s="21">
        <v>0.9285715</v>
      </c>
    </row>
    <row r="52">
      <c r="A52" s="1" t="s">
        <v>34</v>
      </c>
      <c r="B52" s="21">
        <v>0.5345455</v>
      </c>
    </row>
    <row r="53">
      <c r="A53" s="1" t="s">
        <v>134</v>
      </c>
      <c r="B53" s="21">
        <v>0.40909091</v>
      </c>
    </row>
    <row r="54">
      <c r="A54" s="1" t="s">
        <v>81</v>
      </c>
      <c r="B54" s="21">
        <v>0.63095233</v>
      </c>
    </row>
    <row r="55">
      <c r="A55" s="1" t="s">
        <v>80</v>
      </c>
      <c r="B55" s="21">
        <v>0.39795914</v>
      </c>
    </row>
    <row r="56">
      <c r="A56" s="1" t="s">
        <v>113</v>
      </c>
      <c r="B56" s="21">
        <v>0.25465838</v>
      </c>
    </row>
    <row r="57">
      <c r="A57" s="1" t="s">
        <v>354</v>
      </c>
      <c r="B57" s="21">
        <v>0.0</v>
      </c>
    </row>
    <row r="58">
      <c r="A58" s="1" t="s">
        <v>126</v>
      </c>
      <c r="B58" s="21">
        <v>0.11111111</v>
      </c>
    </row>
    <row r="59">
      <c r="A59" s="1" t="s">
        <v>102</v>
      </c>
      <c r="B59" s="21">
        <v>0.15476184</v>
      </c>
    </row>
    <row r="60">
      <c r="A60" s="1" t="s">
        <v>117</v>
      </c>
      <c r="B60" s="21">
        <v>0.0</v>
      </c>
    </row>
    <row r="61">
      <c r="A61" s="1" t="s">
        <v>64</v>
      </c>
      <c r="B61" s="21">
        <v>0.459596</v>
      </c>
    </row>
    <row r="62">
      <c r="A62" s="1" t="s">
        <v>36</v>
      </c>
      <c r="B62" s="21">
        <v>0.53409091</v>
      </c>
    </row>
    <row r="63">
      <c r="A63" s="1" t="s">
        <v>49</v>
      </c>
      <c r="B63" s="21">
        <v>0.0</v>
      </c>
    </row>
    <row r="64">
      <c r="A64" s="1" t="s">
        <v>132</v>
      </c>
      <c r="B64" s="21">
        <v>0.189441</v>
      </c>
    </row>
    <row r="65">
      <c r="A65" s="1" t="s">
        <v>45</v>
      </c>
      <c r="B65" s="21">
        <v>0.81437473</v>
      </c>
    </row>
    <row r="66">
      <c r="A66" s="1" t="s">
        <v>382</v>
      </c>
      <c r="B66" s="21">
        <v>1.0</v>
      </c>
    </row>
    <row r="67">
      <c r="A67" s="1" t="s">
        <v>386</v>
      </c>
      <c r="B67" s="21">
        <v>0.5</v>
      </c>
    </row>
    <row r="68">
      <c r="A68" s="1" t="s">
        <v>128</v>
      </c>
      <c r="B68" s="21">
        <v>0.2047619</v>
      </c>
    </row>
    <row r="69">
      <c r="A69" s="1" t="s">
        <v>57</v>
      </c>
      <c r="B69" s="21">
        <v>0.24901191</v>
      </c>
    </row>
    <row r="70">
      <c r="A70" s="1" t="s">
        <v>127</v>
      </c>
      <c r="B70" s="21">
        <v>0.11607138</v>
      </c>
    </row>
    <row r="71">
      <c r="A71" s="1" t="s">
        <v>58</v>
      </c>
      <c r="B71" s="21">
        <v>0.48701307</v>
      </c>
    </row>
    <row r="72">
      <c r="A72" s="1" t="s">
        <v>85</v>
      </c>
      <c r="B72" s="21">
        <v>0.44318175</v>
      </c>
    </row>
    <row r="73">
      <c r="A73" s="1" t="s">
        <v>54</v>
      </c>
      <c r="B73" s="21">
        <v>0.5466667</v>
      </c>
    </row>
    <row r="74">
      <c r="A74" s="1" t="s">
        <v>121</v>
      </c>
      <c r="B74" s="21">
        <v>0.18357489</v>
      </c>
    </row>
    <row r="75">
      <c r="A75" s="1" t="s">
        <v>70</v>
      </c>
      <c r="B75" s="21">
        <v>0.50194326</v>
      </c>
    </row>
    <row r="76">
      <c r="A76" s="1" t="s">
        <v>37</v>
      </c>
      <c r="B76" s="21">
        <v>0.0</v>
      </c>
    </row>
    <row r="77">
      <c r="A77" s="1" t="s">
        <v>35</v>
      </c>
      <c r="B77" s="21">
        <v>0.53333335</v>
      </c>
    </row>
    <row r="78">
      <c r="A78" s="1" t="s">
        <v>44</v>
      </c>
      <c r="B78" s="21">
        <v>0.65306129</v>
      </c>
    </row>
    <row r="79">
      <c r="A79" s="1" t="s">
        <v>91</v>
      </c>
      <c r="B79" s="21">
        <v>0.83333333</v>
      </c>
    </row>
    <row r="80">
      <c r="A80" s="1" t="s">
        <v>50</v>
      </c>
      <c r="B80" s="21">
        <v>0.32095596</v>
      </c>
    </row>
    <row r="81">
      <c r="A81" s="1" t="s">
        <v>429</v>
      </c>
      <c r="B81" s="21">
        <v>1.0</v>
      </c>
    </row>
    <row r="82">
      <c r="A82" s="1" t="s">
        <v>84</v>
      </c>
      <c r="B82" s="21">
        <v>0.25</v>
      </c>
    </row>
    <row r="83">
      <c r="A83" s="1" t="s">
        <v>136</v>
      </c>
      <c r="B83" s="21">
        <v>0.43181825</v>
      </c>
    </row>
    <row r="84">
      <c r="A84" s="1" t="s">
        <v>130</v>
      </c>
      <c r="B84" s="21">
        <v>0.0</v>
      </c>
    </row>
    <row r="85">
      <c r="A85" s="1" t="s">
        <v>112</v>
      </c>
      <c r="B85" s="21">
        <v>0.2</v>
      </c>
    </row>
    <row r="86">
      <c r="A86" s="1" t="s">
        <v>97</v>
      </c>
      <c r="B86" s="21">
        <v>0.31991483</v>
      </c>
    </row>
    <row r="87">
      <c r="A87" s="1" t="s">
        <v>53</v>
      </c>
      <c r="B87" s="21">
        <v>0.63428571</v>
      </c>
    </row>
    <row r="88">
      <c r="A88" s="1" t="s">
        <v>451</v>
      </c>
      <c r="B88" s="21">
        <v>0.0</v>
      </c>
    </row>
    <row r="89">
      <c r="A89" s="1" t="s">
        <v>82</v>
      </c>
      <c r="B89" s="21">
        <v>0.0</v>
      </c>
    </row>
    <row r="90">
      <c r="A90" s="1" t="s">
        <v>131</v>
      </c>
      <c r="B90" s="21">
        <v>0.33766236</v>
      </c>
    </row>
    <row r="91">
      <c r="A91" s="1" t="s">
        <v>119</v>
      </c>
      <c r="B91" s="21">
        <v>0.44543642</v>
      </c>
    </row>
    <row r="92">
      <c r="A92" s="1" t="s">
        <v>33</v>
      </c>
      <c r="B92" s="21">
        <v>0.64557824</v>
      </c>
    </row>
    <row r="93">
      <c r="A93" s="1" t="s">
        <v>124</v>
      </c>
      <c r="B93" s="21">
        <v>0.19565225</v>
      </c>
    </row>
    <row r="94">
      <c r="A94" s="1" t="s">
        <v>470</v>
      </c>
      <c r="B94" s="21">
        <v>0.46666667</v>
      </c>
    </row>
    <row r="95">
      <c r="A95" s="1" t="s">
        <v>38</v>
      </c>
      <c r="B95" s="21">
        <v>0.44230775</v>
      </c>
    </row>
    <row r="96">
      <c r="A96" s="1" t="s">
        <v>65</v>
      </c>
      <c r="B96" s="21">
        <v>0.05142857</v>
      </c>
    </row>
    <row r="97">
      <c r="A97" s="1" t="s">
        <v>43</v>
      </c>
      <c r="B97" s="21">
        <v>0.80886244</v>
      </c>
    </row>
    <row r="98">
      <c r="A98" s="1" t="s">
        <v>93</v>
      </c>
      <c r="B98" s="21">
        <v>0.26</v>
      </c>
    </row>
    <row r="99">
      <c r="A99" s="1" t="s">
        <v>103</v>
      </c>
      <c r="B99" s="21">
        <v>0.4647273</v>
      </c>
    </row>
    <row r="100">
      <c r="A100" s="1" t="s">
        <v>31</v>
      </c>
      <c r="B100" s="21">
        <v>0.1714286</v>
      </c>
    </row>
    <row r="101">
      <c r="A101" s="1" t="s">
        <v>492</v>
      </c>
      <c r="B101" s="21">
        <v>0.5</v>
      </c>
    </row>
    <row r="102">
      <c r="A102" s="1" t="s">
        <v>73</v>
      </c>
      <c r="B102" s="21">
        <v>0.27229007</v>
      </c>
    </row>
    <row r="103">
      <c r="A103" s="1" t="s">
        <v>42</v>
      </c>
      <c r="B103" s="21">
        <v>0.45405983</v>
      </c>
    </row>
    <row r="104">
      <c r="A104" s="1" t="s">
        <v>99</v>
      </c>
      <c r="B104" s="21">
        <v>0.83392486</v>
      </c>
    </row>
    <row r="105">
      <c r="A105" s="1" t="s">
        <v>109</v>
      </c>
      <c r="B105" s="21">
        <v>0.43540981</v>
      </c>
    </row>
    <row r="106">
      <c r="A106" s="1" t="s">
        <v>30</v>
      </c>
      <c r="B106" s="21">
        <v>0.49802858</v>
      </c>
    </row>
    <row r="107">
      <c r="A107" s="1" t="s">
        <v>66</v>
      </c>
      <c r="B107" s="21">
        <v>0.4</v>
      </c>
    </row>
    <row r="108">
      <c r="A108" s="1" t="s">
        <v>68</v>
      </c>
      <c r="B108" s="21">
        <v>0.2</v>
      </c>
    </row>
    <row r="109">
      <c r="A109" s="1" t="s">
        <v>74</v>
      </c>
      <c r="B109" s="21">
        <v>0.79307572</v>
      </c>
    </row>
    <row r="110">
      <c r="A110" s="1" t="s">
        <v>123</v>
      </c>
      <c r="B110" s="21">
        <v>0.344389</v>
      </c>
    </row>
    <row r="111">
      <c r="A111" s="1" t="s">
        <v>90</v>
      </c>
      <c r="B111" s="21">
        <v>0.43318183</v>
      </c>
    </row>
    <row r="112">
      <c r="A112" s="1" t="s">
        <v>40</v>
      </c>
      <c r="B112" s="21">
        <v>0.40333333</v>
      </c>
    </row>
    <row r="113">
      <c r="A113" s="1" t="s">
        <v>52</v>
      </c>
      <c r="B113" s="21">
        <v>0.19565214</v>
      </c>
    </row>
    <row r="114">
      <c r="A114" s="1" t="s">
        <v>107</v>
      </c>
      <c r="B114" s="21">
        <v>0.04488077</v>
      </c>
    </row>
    <row r="115">
      <c r="A115" s="1" t="s">
        <v>105</v>
      </c>
      <c r="B115" s="21">
        <v>0.50448578</v>
      </c>
    </row>
    <row r="116">
      <c r="A116" s="1" t="s">
        <v>47</v>
      </c>
      <c r="B116" s="21">
        <v>0.628788</v>
      </c>
    </row>
    <row r="117">
      <c r="A117" s="1" t="s">
        <v>541</v>
      </c>
      <c r="B117" s="21">
        <v>0.3913045</v>
      </c>
    </row>
    <row r="118">
      <c r="A118" s="1" t="s">
        <v>98</v>
      </c>
      <c r="B118" s="21">
        <v>0.25</v>
      </c>
    </row>
    <row r="119">
      <c r="A119" s="1" t="s">
        <v>548</v>
      </c>
      <c r="B119" s="21">
        <v>0.0</v>
      </c>
    </row>
    <row r="120">
      <c r="A120" s="1" t="s">
        <v>92</v>
      </c>
      <c r="B120" s="21">
        <v>0.77161658</v>
      </c>
    </row>
    <row r="121">
      <c r="A121" s="1" t="s">
        <v>62</v>
      </c>
      <c r="B121" s="21">
        <v>0.0</v>
      </c>
    </row>
    <row r="122">
      <c r="A122" s="1" t="s">
        <v>61</v>
      </c>
      <c r="B122" s="21">
        <v>0.55661003</v>
      </c>
    </row>
    <row r="123">
      <c r="A123" s="1" t="s">
        <v>101</v>
      </c>
      <c r="B123" s="21">
        <v>0.659091</v>
      </c>
    </row>
    <row r="124">
      <c r="A124" s="1" t="s">
        <v>564</v>
      </c>
      <c r="B124" s="21">
        <v>0.84</v>
      </c>
    </row>
    <row r="125">
      <c r="A125" s="1" t="s">
        <v>106</v>
      </c>
      <c r="B125" s="21">
        <v>0.622449</v>
      </c>
    </row>
    <row r="126">
      <c r="A126" s="1" t="s">
        <v>89</v>
      </c>
      <c r="B126" s="21">
        <v>0.0</v>
      </c>
    </row>
    <row r="127">
      <c r="A127" s="1" t="s">
        <v>75</v>
      </c>
      <c r="B127" s="21">
        <v>0.2942279</v>
      </c>
    </row>
    <row r="128">
      <c r="A128" s="1" t="s">
        <v>114</v>
      </c>
      <c r="B128" s="21">
        <v>0.26984878</v>
      </c>
    </row>
    <row r="129">
      <c r="A129" s="1" t="s">
        <v>59</v>
      </c>
      <c r="B129" s="21">
        <v>0.31181324</v>
      </c>
    </row>
    <row r="130">
      <c r="A130" s="1" t="s">
        <v>125</v>
      </c>
      <c r="B130" s="21">
        <v>0.46703292</v>
      </c>
    </row>
    <row r="131">
      <c r="A131" s="1" t="s">
        <v>51</v>
      </c>
      <c r="B131" s="21">
        <v>0.0</v>
      </c>
    </row>
    <row r="132">
      <c r="A132" s="1" t="s">
        <v>72</v>
      </c>
      <c r="B132" s="21">
        <v>0.10204086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974</v>
      </c>
    </row>
    <row r="2">
      <c r="A2" s="1" t="s">
        <v>79</v>
      </c>
      <c r="B2" s="1">
        <v>5.68333333333333</v>
      </c>
    </row>
    <row r="3">
      <c r="A3" s="1" t="s">
        <v>60</v>
      </c>
      <c r="B3" s="1">
        <v>4.56666666666666</v>
      </c>
    </row>
    <row r="4">
      <c r="A4" s="1" t="s">
        <v>48</v>
      </c>
      <c r="B4" s="1">
        <v>45.6</v>
      </c>
    </row>
    <row r="5">
      <c r="A5" s="1" t="s">
        <v>69</v>
      </c>
      <c r="B5" s="1">
        <v>27.1833333333333</v>
      </c>
    </row>
    <row r="6">
      <c r="A6" s="1" t="s">
        <v>32</v>
      </c>
      <c r="B6" s="1">
        <v>13.6333333333333</v>
      </c>
    </row>
    <row r="7">
      <c r="A7" s="1" t="s">
        <v>71</v>
      </c>
      <c r="B7" s="1">
        <v>24.6</v>
      </c>
    </row>
    <row r="8">
      <c r="A8" s="1" t="s">
        <v>46</v>
      </c>
      <c r="B8" s="1">
        <v>33.2</v>
      </c>
    </row>
    <row r="9">
      <c r="A9" s="1" t="s">
        <v>111</v>
      </c>
      <c r="B9" s="1">
        <v>29.8333333333333</v>
      </c>
    </row>
    <row r="10">
      <c r="A10" s="1" t="s">
        <v>205</v>
      </c>
      <c r="B10" s="1">
        <v>51.05</v>
      </c>
    </row>
    <row r="11">
      <c r="A11" s="1" t="s">
        <v>135</v>
      </c>
      <c r="B11" s="1">
        <v>13.9833333333333</v>
      </c>
    </row>
    <row r="12">
      <c r="A12" s="1" t="s">
        <v>95</v>
      </c>
      <c r="B12" s="1">
        <v>35.6166666666666</v>
      </c>
    </row>
    <row r="13">
      <c r="A13" s="1" t="s">
        <v>63</v>
      </c>
      <c r="B13" s="1">
        <v>35.9333333333333</v>
      </c>
    </row>
    <row r="14">
      <c r="A14" s="1" t="s">
        <v>86</v>
      </c>
      <c r="B14" s="1">
        <v>39.3333333333333</v>
      </c>
    </row>
    <row r="15">
      <c r="A15" s="1" t="s">
        <v>116</v>
      </c>
      <c r="B15" s="1">
        <v>31.55</v>
      </c>
    </row>
    <row r="16">
      <c r="A16" s="1" t="s">
        <v>96</v>
      </c>
      <c r="B16" s="1">
        <v>36.1833333333333</v>
      </c>
    </row>
    <row r="17">
      <c r="A17" s="1" t="s">
        <v>110</v>
      </c>
      <c r="B17" s="1">
        <v>34.6833333333333</v>
      </c>
    </row>
    <row r="18">
      <c r="A18" s="1" t="s">
        <v>120</v>
      </c>
      <c r="B18" s="1">
        <v>20.35</v>
      </c>
    </row>
    <row r="19">
      <c r="A19" s="1" t="s">
        <v>77</v>
      </c>
      <c r="B19" s="1">
        <v>30.5166666666666</v>
      </c>
    </row>
    <row r="20">
      <c r="A20" s="1" t="s">
        <v>94</v>
      </c>
      <c r="B20" s="1">
        <v>37.9</v>
      </c>
    </row>
    <row r="21">
      <c r="A21" s="1" t="s">
        <v>87</v>
      </c>
      <c r="B21" s="1">
        <v>21.5166666666666</v>
      </c>
    </row>
    <row r="22">
      <c r="A22" s="1" t="s">
        <v>29</v>
      </c>
      <c r="B22" s="1">
        <v>8.56666666666666</v>
      </c>
    </row>
    <row r="23">
      <c r="A23" s="1" t="s">
        <v>129</v>
      </c>
      <c r="B23" s="1">
        <v>12.6333333333333</v>
      </c>
    </row>
    <row r="24">
      <c r="A24" s="1" t="s">
        <v>100</v>
      </c>
      <c r="B24" s="1">
        <v>0.416666666666666</v>
      </c>
    </row>
    <row r="25">
      <c r="A25" s="1" t="s">
        <v>122</v>
      </c>
      <c r="B25" s="1">
        <v>36.8666666666666</v>
      </c>
    </row>
    <row r="26">
      <c r="A26" s="1" t="s">
        <v>137</v>
      </c>
      <c r="B26" s="1">
        <v>5.8</v>
      </c>
    </row>
    <row r="27">
      <c r="A27" s="1" t="s">
        <v>118</v>
      </c>
      <c r="B27" s="1">
        <v>8.38333333333333</v>
      </c>
    </row>
    <row r="28">
      <c r="A28" s="1" t="s">
        <v>115</v>
      </c>
      <c r="B28" s="1">
        <v>3.1</v>
      </c>
    </row>
    <row r="29">
      <c r="A29" s="1" t="s">
        <v>76</v>
      </c>
      <c r="B29" s="1">
        <v>26.6166666666666</v>
      </c>
    </row>
    <row r="30">
      <c r="A30" s="1" t="s">
        <v>88</v>
      </c>
      <c r="B30" s="1">
        <v>27.7166666666666</v>
      </c>
    </row>
    <row r="31">
      <c r="A31" s="1" t="s">
        <v>41</v>
      </c>
      <c r="B31" s="1">
        <v>47.4833333333333</v>
      </c>
    </row>
    <row r="32">
      <c r="A32" s="1" t="s">
        <v>104</v>
      </c>
      <c r="B32" s="1">
        <v>31.3666666666666</v>
      </c>
    </row>
    <row r="33">
      <c r="A33" s="1" t="s">
        <v>133</v>
      </c>
      <c r="B33" s="1">
        <v>19.3166666666666</v>
      </c>
    </row>
    <row r="34">
      <c r="A34" s="1" t="s">
        <v>67</v>
      </c>
      <c r="B34" s="1">
        <v>40.3333333333333</v>
      </c>
    </row>
    <row r="35">
      <c r="A35" s="1" t="s">
        <v>108</v>
      </c>
      <c r="B35" s="1">
        <v>2.4</v>
      </c>
    </row>
    <row r="36">
      <c r="A36" s="1" t="s">
        <v>39</v>
      </c>
      <c r="B36" s="1">
        <v>47.4666666666666</v>
      </c>
    </row>
    <row r="37">
      <c r="A37" s="1" t="s">
        <v>56</v>
      </c>
      <c r="B37" s="1">
        <v>42.1666666666666</v>
      </c>
    </row>
    <row r="38">
      <c r="A38" s="1" t="s">
        <v>55</v>
      </c>
      <c r="B38" s="1">
        <v>38.35</v>
      </c>
    </row>
    <row r="39">
      <c r="A39" s="1" t="s">
        <v>78</v>
      </c>
      <c r="B39" s="1">
        <v>31.35</v>
      </c>
    </row>
    <row r="40">
      <c r="A40" s="1" t="s">
        <v>83</v>
      </c>
      <c r="B40" s="1">
        <v>34.5</v>
      </c>
    </row>
    <row r="41">
      <c r="A41" s="1" t="s">
        <v>34</v>
      </c>
      <c r="B41" s="1">
        <v>30.8833333333333</v>
      </c>
    </row>
    <row r="42">
      <c r="A42" s="1" t="s">
        <v>134</v>
      </c>
      <c r="B42" s="1">
        <v>19.2333333333333</v>
      </c>
    </row>
    <row r="43">
      <c r="A43" s="1" t="s">
        <v>81</v>
      </c>
      <c r="B43" s="1">
        <v>10.85</v>
      </c>
    </row>
    <row r="44">
      <c r="A44" s="1" t="s">
        <v>80</v>
      </c>
      <c r="B44" s="1">
        <v>9.76666666666666</v>
      </c>
    </row>
    <row r="45">
      <c r="A45" s="1" t="s">
        <v>113</v>
      </c>
      <c r="B45" s="1">
        <v>33.7333333333333</v>
      </c>
    </row>
    <row r="46">
      <c r="A46" s="1" t="s">
        <v>126</v>
      </c>
      <c r="B46" s="1">
        <v>4.13333333333333</v>
      </c>
    </row>
    <row r="47">
      <c r="A47" s="1" t="s">
        <v>102</v>
      </c>
      <c r="B47" s="1">
        <v>13.3333333333333</v>
      </c>
    </row>
    <row r="48">
      <c r="A48" s="1" t="s">
        <v>117</v>
      </c>
      <c r="B48" s="1">
        <v>23.4166666666666</v>
      </c>
    </row>
    <row r="49">
      <c r="A49" s="1" t="s">
        <v>64</v>
      </c>
      <c r="B49" s="1">
        <v>41.05</v>
      </c>
    </row>
    <row r="50">
      <c r="A50" s="1" t="s">
        <v>36</v>
      </c>
      <c r="B50" s="1">
        <v>20.8666666666666</v>
      </c>
    </row>
    <row r="51">
      <c r="A51" s="1" t="s">
        <v>49</v>
      </c>
      <c r="B51" s="1">
        <v>36.25</v>
      </c>
    </row>
    <row r="52">
      <c r="A52" s="1" t="s">
        <v>132</v>
      </c>
      <c r="B52" s="1">
        <v>17.8166666666666</v>
      </c>
    </row>
    <row r="53">
      <c r="A53" s="1" t="s">
        <v>45</v>
      </c>
      <c r="B53" s="1">
        <v>45.2333333333333</v>
      </c>
    </row>
    <row r="54">
      <c r="A54" s="1" t="s">
        <v>128</v>
      </c>
      <c r="B54" s="1">
        <v>14.95</v>
      </c>
    </row>
    <row r="55">
      <c r="A55" s="1" t="s">
        <v>57</v>
      </c>
      <c r="B55" s="1">
        <v>37.9</v>
      </c>
    </row>
    <row r="56">
      <c r="A56" s="1" t="s">
        <v>127</v>
      </c>
      <c r="B56" s="1">
        <v>20.8</v>
      </c>
    </row>
    <row r="57">
      <c r="A57" s="1" t="s">
        <v>58</v>
      </c>
      <c r="B57" s="1">
        <v>10.05</v>
      </c>
    </row>
    <row r="58">
      <c r="A58" s="1" t="s">
        <v>85</v>
      </c>
      <c r="B58" s="1">
        <v>5.01666666666666</v>
      </c>
    </row>
    <row r="59">
      <c r="A59" s="1" t="s">
        <v>54</v>
      </c>
      <c r="B59" s="1">
        <v>23.9</v>
      </c>
    </row>
    <row r="60">
      <c r="A60" s="1" t="s">
        <v>121</v>
      </c>
      <c r="B60" s="1">
        <v>30.4333333333333</v>
      </c>
    </row>
    <row r="61">
      <c r="A61" s="1" t="s">
        <v>70</v>
      </c>
      <c r="B61" s="1">
        <v>39.9333333333333</v>
      </c>
    </row>
    <row r="62">
      <c r="A62" s="1" t="s">
        <v>37</v>
      </c>
      <c r="B62" s="1">
        <v>17.4</v>
      </c>
    </row>
    <row r="63">
      <c r="A63" s="1" t="s">
        <v>35</v>
      </c>
      <c r="B63" s="1">
        <v>48.2666666666666</v>
      </c>
    </row>
    <row r="64">
      <c r="A64" s="1" t="s">
        <v>44</v>
      </c>
      <c r="B64" s="1">
        <v>20.2</v>
      </c>
    </row>
    <row r="65">
      <c r="A65" s="1" t="s">
        <v>91</v>
      </c>
      <c r="B65" s="1">
        <v>0.916666666666666</v>
      </c>
    </row>
    <row r="66">
      <c r="A66" s="1" t="s">
        <v>50</v>
      </c>
      <c r="B66" s="1">
        <v>44.7166666666666</v>
      </c>
    </row>
    <row r="67">
      <c r="A67" s="1" t="s">
        <v>84</v>
      </c>
      <c r="B67" s="1">
        <v>31.35</v>
      </c>
    </row>
    <row r="68">
      <c r="A68" s="1" t="s">
        <v>136</v>
      </c>
      <c r="B68" s="1">
        <v>12.6</v>
      </c>
    </row>
    <row r="69">
      <c r="A69" s="1" t="s">
        <v>130</v>
      </c>
      <c r="B69" s="1">
        <v>4.03333333333333</v>
      </c>
    </row>
    <row r="70">
      <c r="A70" s="1" t="s">
        <v>112</v>
      </c>
      <c r="B70" s="1">
        <v>3.91666666666666</v>
      </c>
    </row>
    <row r="71">
      <c r="A71" s="1" t="s">
        <v>97</v>
      </c>
      <c r="B71" s="1">
        <v>41.05</v>
      </c>
    </row>
    <row r="72">
      <c r="A72" s="1" t="s">
        <v>53</v>
      </c>
      <c r="B72" s="1">
        <v>44.2166666666666</v>
      </c>
    </row>
    <row r="73">
      <c r="A73" s="1" t="s">
        <v>82</v>
      </c>
      <c r="B73" s="1">
        <v>6.88333333333333</v>
      </c>
    </row>
    <row r="74">
      <c r="A74" s="1" t="s">
        <v>131</v>
      </c>
      <c r="B74" s="1">
        <v>15.5</v>
      </c>
    </row>
    <row r="75">
      <c r="A75" s="1" t="s">
        <v>119</v>
      </c>
      <c r="B75" s="1">
        <v>32.2833333333333</v>
      </c>
    </row>
    <row r="76">
      <c r="A76" s="1" t="s">
        <v>33</v>
      </c>
      <c r="B76" s="1">
        <v>56.2833333333333</v>
      </c>
    </row>
    <row r="77">
      <c r="A77" s="1" t="s">
        <v>124</v>
      </c>
      <c r="B77" s="1">
        <v>4.18333333333333</v>
      </c>
    </row>
    <row r="78">
      <c r="A78" s="1" t="s">
        <v>38</v>
      </c>
      <c r="B78" s="1">
        <v>1.23333333333333</v>
      </c>
    </row>
    <row r="79">
      <c r="A79" s="1" t="s">
        <v>65</v>
      </c>
      <c r="B79" s="1">
        <v>3.53333333333333</v>
      </c>
    </row>
    <row r="80">
      <c r="A80" s="1" t="s">
        <v>43</v>
      </c>
      <c r="B80" s="1">
        <v>21.4166666666666</v>
      </c>
    </row>
    <row r="81">
      <c r="A81" s="1" t="s">
        <v>93</v>
      </c>
      <c r="B81" s="1">
        <v>5.93333333333333</v>
      </c>
    </row>
    <row r="82">
      <c r="A82" s="1" t="s">
        <v>103</v>
      </c>
      <c r="B82" s="1">
        <v>32.4</v>
      </c>
    </row>
    <row r="83">
      <c r="A83" s="1" t="s">
        <v>31</v>
      </c>
      <c r="B83" s="1">
        <v>12.65</v>
      </c>
    </row>
    <row r="84">
      <c r="A84" s="1" t="s">
        <v>73</v>
      </c>
      <c r="B84" s="1">
        <v>40.05</v>
      </c>
    </row>
    <row r="85">
      <c r="A85" s="1" t="s">
        <v>42</v>
      </c>
      <c r="B85" s="1">
        <v>16.3166666666666</v>
      </c>
    </row>
    <row r="86">
      <c r="A86" s="1" t="s">
        <v>99</v>
      </c>
      <c r="B86" s="1">
        <v>18.3333333333333</v>
      </c>
    </row>
    <row r="87">
      <c r="A87" s="1" t="s">
        <v>109</v>
      </c>
      <c r="B87" s="1">
        <v>32.3666666666666</v>
      </c>
    </row>
    <row r="88">
      <c r="A88" s="1" t="s">
        <v>30</v>
      </c>
      <c r="B88" s="1">
        <v>43.25</v>
      </c>
    </row>
    <row r="89">
      <c r="A89" s="1" t="s">
        <v>66</v>
      </c>
      <c r="B89" s="1">
        <v>1.56666666666666</v>
      </c>
    </row>
    <row r="90">
      <c r="A90" s="1" t="s">
        <v>68</v>
      </c>
      <c r="B90" s="1">
        <v>11.4</v>
      </c>
    </row>
    <row r="91">
      <c r="A91" s="1" t="s">
        <v>74</v>
      </c>
      <c r="B91" s="1">
        <v>30.65</v>
      </c>
    </row>
    <row r="92">
      <c r="A92" s="1" t="s">
        <v>123</v>
      </c>
      <c r="B92" s="1">
        <v>29.3166666666666</v>
      </c>
    </row>
    <row r="93">
      <c r="A93" s="1" t="s">
        <v>90</v>
      </c>
      <c r="B93" s="1">
        <v>35.6666666666666</v>
      </c>
    </row>
    <row r="94">
      <c r="A94" s="1" t="s">
        <v>40</v>
      </c>
      <c r="B94" s="1">
        <v>11.5166666666666</v>
      </c>
    </row>
    <row r="95">
      <c r="A95" s="1" t="s">
        <v>52</v>
      </c>
      <c r="B95" s="1">
        <v>18.6833333333333</v>
      </c>
    </row>
    <row r="96">
      <c r="A96" s="1" t="s">
        <v>107</v>
      </c>
      <c r="B96" s="1">
        <v>31.9166666666666</v>
      </c>
    </row>
    <row r="97">
      <c r="A97" s="1" t="s">
        <v>105</v>
      </c>
      <c r="B97" s="1">
        <v>35.6666666666666</v>
      </c>
    </row>
    <row r="98">
      <c r="A98" s="1" t="s">
        <v>47</v>
      </c>
      <c r="B98" s="1">
        <v>34.2833333333333</v>
      </c>
    </row>
    <row r="99">
      <c r="A99" s="1" t="s">
        <v>98</v>
      </c>
      <c r="B99" s="1">
        <v>1.91666666666666</v>
      </c>
    </row>
    <row r="100">
      <c r="A100" s="1" t="s">
        <v>92</v>
      </c>
      <c r="B100" s="1">
        <v>33.25</v>
      </c>
    </row>
    <row r="101">
      <c r="A101" s="1" t="s">
        <v>62</v>
      </c>
      <c r="B101" s="1">
        <v>4.18333333333333</v>
      </c>
    </row>
    <row r="102">
      <c r="A102" s="1" t="s">
        <v>61</v>
      </c>
      <c r="B102" s="1">
        <v>41.5666666666666</v>
      </c>
    </row>
    <row r="103">
      <c r="A103" s="1" t="s">
        <v>101</v>
      </c>
      <c r="B103" s="1">
        <v>9.96666666666666</v>
      </c>
    </row>
    <row r="104">
      <c r="A104" s="1" t="s">
        <v>106</v>
      </c>
      <c r="B104" s="1">
        <v>36.2833333333333</v>
      </c>
    </row>
    <row r="105">
      <c r="A105" s="1" t="s">
        <v>89</v>
      </c>
      <c r="B105" s="1">
        <v>31.2333333333333</v>
      </c>
    </row>
    <row r="106">
      <c r="A106" s="1" t="s">
        <v>75</v>
      </c>
      <c r="B106" s="1">
        <v>40.3666666666666</v>
      </c>
    </row>
    <row r="107">
      <c r="A107" s="1" t="s">
        <v>114</v>
      </c>
      <c r="B107" s="1">
        <v>33.6166666666666</v>
      </c>
    </row>
    <row r="108">
      <c r="A108" s="1" t="s">
        <v>59</v>
      </c>
      <c r="B108" s="1">
        <v>27.1833333333333</v>
      </c>
    </row>
    <row r="109">
      <c r="A109" s="1" t="s">
        <v>125</v>
      </c>
      <c r="B109" s="1">
        <v>22.6666666666666</v>
      </c>
    </row>
    <row r="110">
      <c r="A110" s="1" t="s">
        <v>51</v>
      </c>
      <c r="B110" s="1">
        <v>23.0333333333333</v>
      </c>
    </row>
    <row r="111">
      <c r="A111" s="1" t="s">
        <v>72</v>
      </c>
      <c r="B111" s="1">
        <v>6.33333333333333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975</v>
      </c>
    </row>
    <row r="2">
      <c r="A2" s="1" t="s">
        <v>79</v>
      </c>
      <c r="B2" s="1">
        <v>12.3666666666666</v>
      </c>
    </row>
    <row r="3">
      <c r="A3" s="1" t="s">
        <v>60</v>
      </c>
      <c r="B3" s="1">
        <v>10.2166666666666</v>
      </c>
    </row>
    <row r="4">
      <c r="A4" s="1" t="s">
        <v>48</v>
      </c>
      <c r="B4" s="1">
        <v>5.91666666666666</v>
      </c>
    </row>
    <row r="5">
      <c r="A5" s="1" t="s">
        <v>69</v>
      </c>
      <c r="B5" s="1">
        <v>11.3</v>
      </c>
    </row>
    <row r="6">
      <c r="A6" s="1" t="s">
        <v>32</v>
      </c>
      <c r="B6" s="1">
        <v>1.4</v>
      </c>
    </row>
    <row r="7">
      <c r="A7" s="1" t="s">
        <v>71</v>
      </c>
      <c r="B7" s="1">
        <v>11.5166666666666</v>
      </c>
    </row>
    <row r="8">
      <c r="A8" s="1" t="s">
        <v>46</v>
      </c>
      <c r="B8" s="1">
        <v>5.66666666666666</v>
      </c>
    </row>
    <row r="9">
      <c r="A9" s="1" t="s">
        <v>111</v>
      </c>
      <c r="B9" s="1">
        <v>17.6833333333333</v>
      </c>
    </row>
    <row r="10">
      <c r="A10" s="1" t="s">
        <v>205</v>
      </c>
      <c r="B10" s="1">
        <v>0.0</v>
      </c>
    </row>
    <row r="11">
      <c r="A11" s="1" t="s">
        <v>135</v>
      </c>
      <c r="B11" s="1">
        <v>35.75</v>
      </c>
    </row>
    <row r="12">
      <c r="A12" s="1" t="s">
        <v>95</v>
      </c>
      <c r="B12" s="1">
        <v>13.6333333333333</v>
      </c>
    </row>
    <row r="13">
      <c r="A13" s="1" t="s">
        <v>63</v>
      </c>
      <c r="B13" s="1">
        <v>10.55</v>
      </c>
    </row>
    <row r="14">
      <c r="A14" s="1" t="s">
        <v>86</v>
      </c>
      <c r="B14" s="1">
        <v>12.8333333333333</v>
      </c>
    </row>
    <row r="15">
      <c r="A15" s="1" t="s">
        <v>116</v>
      </c>
      <c r="B15" s="1">
        <v>18.6833333333333</v>
      </c>
    </row>
    <row r="16">
      <c r="A16" s="1" t="s">
        <v>96</v>
      </c>
      <c r="B16" s="1">
        <v>13.6666666666666</v>
      </c>
    </row>
    <row r="17">
      <c r="A17" s="1" t="s">
        <v>110</v>
      </c>
      <c r="B17" s="1">
        <v>17.2166666666666</v>
      </c>
    </row>
    <row r="18">
      <c r="A18" s="1" t="s">
        <v>120</v>
      </c>
      <c r="B18" s="1">
        <v>20.7166666666666</v>
      </c>
    </row>
    <row r="19">
      <c r="A19" s="1" t="s">
        <v>77</v>
      </c>
      <c r="B19" s="1">
        <v>12.0666666666666</v>
      </c>
    </row>
    <row r="20">
      <c r="A20" s="1" t="s">
        <v>94</v>
      </c>
      <c r="B20" s="1">
        <v>13.5</v>
      </c>
    </row>
    <row r="21">
      <c r="A21" s="1" t="s">
        <v>87</v>
      </c>
      <c r="B21" s="1">
        <v>12.8833333333333</v>
      </c>
    </row>
    <row r="22">
      <c r="A22" s="1" t="s">
        <v>29</v>
      </c>
      <c r="B22" s="1">
        <v>0.0333333333333333</v>
      </c>
    </row>
    <row r="23">
      <c r="A23" s="1" t="s">
        <v>129</v>
      </c>
      <c r="B23" s="1">
        <v>31.25</v>
      </c>
    </row>
    <row r="24">
      <c r="A24" s="1" t="s">
        <v>100</v>
      </c>
      <c r="B24" s="1">
        <v>14.0166666666666</v>
      </c>
    </row>
    <row r="25">
      <c r="A25" s="1" t="s">
        <v>122</v>
      </c>
      <c r="B25" s="1">
        <v>21.7</v>
      </c>
    </row>
    <row r="26">
      <c r="A26" s="1" t="s">
        <v>137</v>
      </c>
      <c r="B26" s="1">
        <v>40.1666666666666</v>
      </c>
    </row>
    <row r="27">
      <c r="A27" s="1" t="s">
        <v>118</v>
      </c>
      <c r="B27" s="1">
        <v>19.0</v>
      </c>
    </row>
    <row r="28">
      <c r="A28" s="1" t="s">
        <v>115</v>
      </c>
      <c r="B28" s="1">
        <v>18.3833333333333</v>
      </c>
    </row>
    <row r="29">
      <c r="A29" s="1" t="s">
        <v>76</v>
      </c>
      <c r="B29" s="1">
        <v>12.05</v>
      </c>
    </row>
    <row r="30">
      <c r="A30" s="1" t="s">
        <v>88</v>
      </c>
      <c r="B30" s="1">
        <v>13.0333333333333</v>
      </c>
    </row>
    <row r="31">
      <c r="A31" s="1" t="s">
        <v>41</v>
      </c>
      <c r="B31" s="1">
        <v>4.35</v>
      </c>
    </row>
    <row r="32">
      <c r="A32" s="1" t="s">
        <v>104</v>
      </c>
      <c r="B32" s="1">
        <v>14.5166666666666</v>
      </c>
    </row>
    <row r="33">
      <c r="A33" s="1" t="s">
        <v>133</v>
      </c>
      <c r="B33" s="1">
        <v>32.6666666666666</v>
      </c>
    </row>
    <row r="34">
      <c r="A34" s="1" t="s">
        <v>67</v>
      </c>
      <c r="B34" s="1">
        <v>11.05</v>
      </c>
    </row>
    <row r="35">
      <c r="A35" s="1" t="s">
        <v>108</v>
      </c>
      <c r="B35" s="1">
        <v>15.7333333333333</v>
      </c>
    </row>
    <row r="36">
      <c r="A36" s="1" t="s">
        <v>39</v>
      </c>
      <c r="B36" s="1">
        <v>3.36666666666666</v>
      </c>
    </row>
    <row r="37">
      <c r="A37" s="1" t="s">
        <v>56</v>
      </c>
      <c r="B37" s="1">
        <v>9.08333333333333</v>
      </c>
    </row>
    <row r="38">
      <c r="A38" s="1" t="s">
        <v>55</v>
      </c>
      <c r="B38" s="1">
        <v>8.93333333333333</v>
      </c>
    </row>
    <row r="39">
      <c r="A39" s="1" t="s">
        <v>78</v>
      </c>
      <c r="B39" s="1">
        <v>12.0666666666666</v>
      </c>
    </row>
    <row r="40">
      <c r="A40" s="1" t="s">
        <v>83</v>
      </c>
      <c r="B40" s="1">
        <v>12.75</v>
      </c>
    </row>
    <row r="41">
      <c r="A41" s="1" t="s">
        <v>34</v>
      </c>
      <c r="B41" s="1">
        <v>2.11666666666666</v>
      </c>
    </row>
    <row r="42">
      <c r="A42" s="1" t="s">
        <v>134</v>
      </c>
      <c r="B42" s="1">
        <v>33.6833333333333</v>
      </c>
    </row>
    <row r="43">
      <c r="A43" s="1" t="s">
        <v>81</v>
      </c>
      <c r="B43" s="1">
        <v>12.45</v>
      </c>
    </row>
    <row r="44">
      <c r="A44" s="1" t="s">
        <v>80</v>
      </c>
      <c r="B44" s="1">
        <v>12.3833333333333</v>
      </c>
    </row>
    <row r="45">
      <c r="A45" s="1" t="s">
        <v>113</v>
      </c>
      <c r="B45" s="1">
        <v>17.7833333333333</v>
      </c>
    </row>
    <row r="46">
      <c r="A46" s="1" t="s">
        <v>126</v>
      </c>
      <c r="B46" s="1">
        <v>27.7166666666666</v>
      </c>
    </row>
    <row r="47">
      <c r="A47" s="1" t="s">
        <v>102</v>
      </c>
      <c r="B47" s="1">
        <v>14.4333333333333</v>
      </c>
    </row>
    <row r="48">
      <c r="A48" s="1" t="s">
        <v>117</v>
      </c>
      <c r="B48" s="1">
        <v>18.75</v>
      </c>
    </row>
    <row r="49">
      <c r="A49" s="1" t="s">
        <v>64</v>
      </c>
      <c r="B49" s="1">
        <v>10.6333333333333</v>
      </c>
    </row>
    <row r="50">
      <c r="A50" s="1" t="s">
        <v>36</v>
      </c>
      <c r="B50" s="1">
        <v>2.43333333333333</v>
      </c>
    </row>
    <row r="51">
      <c r="A51" s="1" t="s">
        <v>49</v>
      </c>
      <c r="B51" s="1">
        <v>6.06666666666666</v>
      </c>
    </row>
    <row r="52">
      <c r="A52" s="1" t="s">
        <v>132</v>
      </c>
      <c r="B52" s="1">
        <v>32.5833333333333</v>
      </c>
    </row>
    <row r="53">
      <c r="A53" s="1" t="s">
        <v>45</v>
      </c>
      <c r="B53" s="1">
        <v>5.63333333333333</v>
      </c>
    </row>
    <row r="54">
      <c r="A54" s="1" t="s">
        <v>128</v>
      </c>
      <c r="B54" s="1">
        <v>29.5166666666666</v>
      </c>
    </row>
    <row r="55">
      <c r="A55" s="1" t="s">
        <v>57</v>
      </c>
      <c r="B55" s="1">
        <v>9.55</v>
      </c>
    </row>
    <row r="56">
      <c r="A56" s="1" t="s">
        <v>127</v>
      </c>
      <c r="B56" s="1">
        <v>28.6333333333333</v>
      </c>
    </row>
    <row r="57">
      <c r="A57" s="1" t="s">
        <v>58</v>
      </c>
      <c r="B57" s="1">
        <v>9.78333333333333</v>
      </c>
    </row>
    <row r="58">
      <c r="A58" s="1" t="s">
        <v>85</v>
      </c>
      <c r="B58" s="1">
        <v>12.8333333333333</v>
      </c>
    </row>
    <row r="59">
      <c r="A59" s="1" t="s">
        <v>54</v>
      </c>
      <c r="B59" s="1">
        <v>7.85</v>
      </c>
    </row>
    <row r="60">
      <c r="A60" s="1" t="s">
        <v>121</v>
      </c>
      <c r="B60" s="1">
        <v>21.6</v>
      </c>
    </row>
    <row r="61">
      <c r="A61" s="1" t="s">
        <v>70</v>
      </c>
      <c r="B61" s="1">
        <v>11.4833333333333</v>
      </c>
    </row>
    <row r="62">
      <c r="A62" s="1" t="s">
        <v>37</v>
      </c>
      <c r="B62" s="1">
        <v>2.71666666666666</v>
      </c>
    </row>
    <row r="63">
      <c r="A63" s="1" t="s">
        <v>35</v>
      </c>
      <c r="B63" s="1">
        <v>2.35</v>
      </c>
    </row>
    <row r="64">
      <c r="A64" s="1" t="s">
        <v>44</v>
      </c>
      <c r="B64" s="1">
        <v>5.33333333333333</v>
      </c>
    </row>
    <row r="65">
      <c r="A65" s="1" t="s">
        <v>91</v>
      </c>
      <c r="B65" s="1">
        <v>13.1666666666666</v>
      </c>
    </row>
    <row r="66">
      <c r="A66" s="1" t="s">
        <v>50</v>
      </c>
      <c r="B66" s="1">
        <v>6.85</v>
      </c>
    </row>
    <row r="67">
      <c r="A67" s="1" t="s">
        <v>84</v>
      </c>
      <c r="B67" s="1">
        <v>12.75</v>
      </c>
    </row>
    <row r="68">
      <c r="A68" s="1" t="s">
        <v>136</v>
      </c>
      <c r="B68" s="1">
        <v>39.5166666666666</v>
      </c>
    </row>
    <row r="69">
      <c r="A69" s="1" t="s">
        <v>130</v>
      </c>
      <c r="B69" s="1">
        <v>31.2666666666666</v>
      </c>
    </row>
    <row r="70">
      <c r="A70" s="1" t="s">
        <v>112</v>
      </c>
      <c r="B70" s="1">
        <v>17.7333333333333</v>
      </c>
    </row>
    <row r="71">
      <c r="A71" s="1" t="s">
        <v>97</v>
      </c>
      <c r="B71" s="1">
        <v>13.85</v>
      </c>
    </row>
    <row r="72">
      <c r="A72" s="1" t="s">
        <v>53</v>
      </c>
      <c r="B72" s="1">
        <v>7.8</v>
      </c>
    </row>
    <row r="73">
      <c r="A73" s="1" t="s">
        <v>82</v>
      </c>
      <c r="B73" s="1">
        <v>12.5666666666666</v>
      </c>
    </row>
    <row r="74">
      <c r="A74" s="1" t="s">
        <v>131</v>
      </c>
      <c r="B74" s="1">
        <v>31.65</v>
      </c>
    </row>
    <row r="75">
      <c r="A75" s="1" t="s">
        <v>119</v>
      </c>
      <c r="B75" s="1">
        <v>19.2666666666666</v>
      </c>
    </row>
    <row r="76">
      <c r="A76" s="1" t="s">
        <v>33</v>
      </c>
      <c r="B76" s="1">
        <v>2.05</v>
      </c>
    </row>
    <row r="77">
      <c r="A77" s="1" t="s">
        <v>124</v>
      </c>
      <c r="B77" s="1">
        <v>23.35</v>
      </c>
    </row>
    <row r="78">
      <c r="A78" s="1" t="s">
        <v>38</v>
      </c>
      <c r="B78" s="1">
        <v>2.96666666666666</v>
      </c>
    </row>
    <row r="79">
      <c r="A79" s="1" t="s">
        <v>65</v>
      </c>
      <c r="B79" s="1">
        <v>10.6833333333333</v>
      </c>
    </row>
    <row r="80">
      <c r="A80" s="1" t="s">
        <v>43</v>
      </c>
      <c r="B80" s="1">
        <v>5.05</v>
      </c>
    </row>
    <row r="81">
      <c r="A81" s="1" t="s">
        <v>93</v>
      </c>
      <c r="B81" s="1">
        <v>13.4166666666666</v>
      </c>
    </row>
    <row r="82">
      <c r="A82" s="1" t="s">
        <v>103</v>
      </c>
      <c r="B82" s="1">
        <v>14.5</v>
      </c>
    </row>
    <row r="83">
      <c r="A83" s="1" t="s">
        <v>31</v>
      </c>
      <c r="B83" s="1">
        <v>1.2</v>
      </c>
    </row>
    <row r="84">
      <c r="A84" s="1" t="s">
        <v>73</v>
      </c>
      <c r="B84" s="1">
        <v>11.6</v>
      </c>
    </row>
    <row r="85">
      <c r="A85" s="1" t="s">
        <v>42</v>
      </c>
      <c r="B85" s="1">
        <v>4.53333333333333</v>
      </c>
    </row>
    <row r="86">
      <c r="A86" s="1" t="s">
        <v>99</v>
      </c>
      <c r="B86" s="1">
        <v>13.9833333333333</v>
      </c>
    </row>
    <row r="87">
      <c r="A87" s="1" t="s">
        <v>109</v>
      </c>
      <c r="B87" s="1">
        <v>17.1833333333333</v>
      </c>
    </row>
    <row r="88">
      <c r="A88" s="1" t="s">
        <v>30</v>
      </c>
      <c r="B88" s="1">
        <v>0.183333333333333</v>
      </c>
    </row>
    <row r="89">
      <c r="A89" s="1" t="s">
        <v>66</v>
      </c>
      <c r="B89" s="1">
        <v>10.9</v>
      </c>
    </row>
    <row r="90">
      <c r="A90" s="1" t="s">
        <v>68</v>
      </c>
      <c r="B90" s="1">
        <v>11.2166666666666</v>
      </c>
    </row>
    <row r="91">
      <c r="A91" s="1" t="s">
        <v>74</v>
      </c>
      <c r="B91" s="1">
        <v>11.8</v>
      </c>
    </row>
    <row r="92">
      <c r="A92" s="1" t="s">
        <v>123</v>
      </c>
      <c r="B92" s="1">
        <v>22.3833333333333</v>
      </c>
    </row>
    <row r="93">
      <c r="A93" s="1" t="s">
        <v>90</v>
      </c>
      <c r="B93" s="1">
        <v>13.15</v>
      </c>
    </row>
    <row r="94">
      <c r="A94" s="1" t="s">
        <v>40</v>
      </c>
      <c r="B94" s="1">
        <v>3.55</v>
      </c>
    </row>
    <row r="95">
      <c r="A95" s="1" t="s">
        <v>52</v>
      </c>
      <c r="B95" s="1">
        <v>7.38333333333333</v>
      </c>
    </row>
    <row r="96">
      <c r="A96" s="1" t="s">
        <v>107</v>
      </c>
      <c r="B96" s="1">
        <v>15.55</v>
      </c>
    </row>
    <row r="97">
      <c r="A97" s="1" t="s">
        <v>105</v>
      </c>
      <c r="B97" s="1">
        <v>15.3333333333333</v>
      </c>
    </row>
    <row r="98">
      <c r="A98" s="1" t="s">
        <v>47</v>
      </c>
      <c r="B98" s="1">
        <v>5.66666666666666</v>
      </c>
    </row>
    <row r="99">
      <c r="A99" s="1" t="s">
        <v>98</v>
      </c>
      <c r="B99" s="1">
        <v>13.95</v>
      </c>
    </row>
    <row r="100">
      <c r="A100" s="1" t="s">
        <v>92</v>
      </c>
      <c r="B100" s="1">
        <v>13.2</v>
      </c>
    </row>
    <row r="101">
      <c r="A101" s="1" t="s">
        <v>62</v>
      </c>
      <c r="B101" s="1">
        <v>10.4166666666666</v>
      </c>
    </row>
    <row r="102">
      <c r="A102" s="1" t="s">
        <v>61</v>
      </c>
      <c r="B102" s="1">
        <v>10.25</v>
      </c>
    </row>
    <row r="103">
      <c r="A103" s="1" t="s">
        <v>101</v>
      </c>
      <c r="B103" s="1">
        <v>14.1</v>
      </c>
    </row>
    <row r="104">
      <c r="A104" s="1" t="s">
        <v>106</v>
      </c>
      <c r="B104" s="1">
        <v>15.4666666666666</v>
      </c>
    </row>
    <row r="105">
      <c r="A105" s="1" t="s">
        <v>89</v>
      </c>
      <c r="B105" s="1">
        <v>13.0666666666666</v>
      </c>
    </row>
    <row r="106">
      <c r="A106" s="1" t="s">
        <v>75</v>
      </c>
      <c r="B106" s="1">
        <v>11.95</v>
      </c>
    </row>
    <row r="107">
      <c r="A107" s="1" t="s">
        <v>114</v>
      </c>
      <c r="B107" s="1">
        <v>18.1666666666666</v>
      </c>
    </row>
    <row r="108">
      <c r="A108" s="1" t="s">
        <v>59</v>
      </c>
      <c r="B108" s="1">
        <v>10.1666666666666</v>
      </c>
    </row>
    <row r="109">
      <c r="A109" s="1" t="s">
        <v>125</v>
      </c>
      <c r="B109" s="1">
        <v>23.6</v>
      </c>
    </row>
    <row r="110">
      <c r="A110" s="1" t="s">
        <v>51</v>
      </c>
      <c r="B110" s="1">
        <v>7.33333333333333</v>
      </c>
    </row>
    <row r="111">
      <c r="A111" s="1" t="s">
        <v>72</v>
      </c>
      <c r="B111" s="1">
        <v>11.5666666666666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976</v>
      </c>
    </row>
    <row r="2">
      <c r="A2" s="1" t="s">
        <v>79</v>
      </c>
      <c r="B2" s="1">
        <v>40.5166666666666</v>
      </c>
    </row>
    <row r="3">
      <c r="A3" s="1" t="s">
        <v>60</v>
      </c>
      <c r="B3" s="1">
        <v>43.7833333333333</v>
      </c>
    </row>
    <row r="4">
      <c r="A4" s="1" t="s">
        <v>48</v>
      </c>
      <c r="B4" s="1">
        <v>7.05</v>
      </c>
    </row>
    <row r="5">
      <c r="A5" s="1" t="s">
        <v>69</v>
      </c>
      <c r="B5" s="1">
        <v>20.0833333333333</v>
      </c>
    </row>
    <row r="6">
      <c r="A6" s="1" t="s">
        <v>32</v>
      </c>
      <c r="B6" s="1">
        <v>43.5333333333333</v>
      </c>
    </row>
    <row r="7">
      <c r="A7" s="1" t="s">
        <v>71</v>
      </c>
      <c r="B7" s="1">
        <v>22.45</v>
      </c>
    </row>
    <row r="8">
      <c r="A8" s="1" t="s">
        <v>46</v>
      </c>
      <c r="B8" s="1">
        <v>19.7</v>
      </c>
    </row>
    <row r="9">
      <c r="A9" s="1" t="s">
        <v>111</v>
      </c>
      <c r="B9" s="1">
        <v>11.05</v>
      </c>
    </row>
    <row r="10">
      <c r="A10" s="1" t="s">
        <v>205</v>
      </c>
      <c r="B10" s="1">
        <v>7.51666666666666</v>
      </c>
    </row>
    <row r="11">
      <c r="A11" s="1" t="s">
        <v>135</v>
      </c>
      <c r="B11" s="1">
        <v>8.83333333333333</v>
      </c>
    </row>
    <row r="12">
      <c r="A12" s="1" t="s">
        <v>95</v>
      </c>
      <c r="B12" s="1">
        <v>9.31666666666666</v>
      </c>
    </row>
    <row r="13">
      <c r="A13" s="1" t="s">
        <v>63</v>
      </c>
      <c r="B13" s="1">
        <v>12.0833333333333</v>
      </c>
    </row>
    <row r="14">
      <c r="A14" s="1" t="s">
        <v>86</v>
      </c>
      <c r="B14" s="1">
        <v>6.4</v>
      </c>
    </row>
    <row r="15">
      <c r="A15" s="1" t="s">
        <v>116</v>
      </c>
      <c r="B15" s="1">
        <v>8.33333333333333</v>
      </c>
    </row>
    <row r="16">
      <c r="A16" s="1" t="s">
        <v>96</v>
      </c>
      <c r="B16" s="1">
        <v>8.71666666666666</v>
      </c>
    </row>
    <row r="17">
      <c r="A17" s="1" t="s">
        <v>110</v>
      </c>
      <c r="B17" s="1">
        <v>6.66666666666666</v>
      </c>
    </row>
    <row r="18">
      <c r="A18" s="1" t="s">
        <v>120</v>
      </c>
      <c r="B18" s="1">
        <v>17.5</v>
      </c>
    </row>
    <row r="19">
      <c r="A19" s="1" t="s">
        <v>77</v>
      </c>
      <c r="B19" s="1">
        <v>15.9833333333333</v>
      </c>
    </row>
    <row r="20">
      <c r="A20" s="1" t="s">
        <v>94</v>
      </c>
      <c r="B20" s="1">
        <v>7.16666666666666</v>
      </c>
    </row>
    <row r="21">
      <c r="A21" s="1" t="s">
        <v>87</v>
      </c>
      <c r="B21" s="1">
        <v>24.1666666666666</v>
      </c>
    </row>
    <row r="22">
      <c r="A22" s="1" t="s">
        <v>29</v>
      </c>
      <c r="B22" s="1">
        <v>49.9666666666666</v>
      </c>
    </row>
    <row r="23">
      <c r="A23" s="1" t="s">
        <v>129</v>
      </c>
      <c r="B23" s="1">
        <v>14.6833333333333</v>
      </c>
    </row>
    <row r="24">
      <c r="A24" s="1" t="s">
        <v>100</v>
      </c>
      <c r="B24" s="1">
        <v>44.1333333333333</v>
      </c>
    </row>
    <row r="25">
      <c r="A25" s="1" t="s">
        <v>122</v>
      </c>
      <c r="B25" s="1">
        <v>0.0</v>
      </c>
    </row>
    <row r="26">
      <c r="A26" s="1" t="s">
        <v>137</v>
      </c>
      <c r="B26" s="1">
        <v>12.6</v>
      </c>
    </row>
    <row r="27">
      <c r="A27" s="1" t="s">
        <v>118</v>
      </c>
      <c r="B27" s="1">
        <v>31.1833333333333</v>
      </c>
    </row>
    <row r="28">
      <c r="A28" s="1" t="s">
        <v>115</v>
      </c>
      <c r="B28" s="1">
        <v>37.0833333333333</v>
      </c>
    </row>
    <row r="29">
      <c r="A29" s="1" t="s">
        <v>76</v>
      </c>
      <c r="B29" s="1">
        <v>19.9</v>
      </c>
    </row>
    <row r="30">
      <c r="A30" s="1" t="s">
        <v>88</v>
      </c>
      <c r="B30" s="1">
        <v>17.8166666666666</v>
      </c>
    </row>
    <row r="31">
      <c r="A31" s="1" t="s">
        <v>41</v>
      </c>
      <c r="B31" s="1">
        <v>6.73333333333333</v>
      </c>
    </row>
    <row r="32">
      <c r="A32" s="1" t="s">
        <v>104</v>
      </c>
      <c r="B32" s="1">
        <v>12.6833333333333</v>
      </c>
    </row>
    <row r="33">
      <c r="A33" s="1" t="s">
        <v>133</v>
      </c>
      <c r="B33" s="1">
        <v>6.58333333333333</v>
      </c>
    </row>
    <row r="34">
      <c r="A34" s="1" t="s">
        <v>67</v>
      </c>
      <c r="B34" s="1">
        <v>7.18333333333333</v>
      </c>
    </row>
    <row r="35">
      <c r="A35" s="1" t="s">
        <v>108</v>
      </c>
      <c r="B35" s="1">
        <v>40.4333333333333</v>
      </c>
    </row>
    <row r="36">
      <c r="A36" s="1" t="s">
        <v>39</v>
      </c>
      <c r="B36" s="1">
        <v>7.73333333333333</v>
      </c>
    </row>
    <row r="37">
      <c r="A37" s="1" t="s">
        <v>56</v>
      </c>
      <c r="B37" s="1">
        <v>7.31666666666666</v>
      </c>
    </row>
    <row r="38">
      <c r="A38" s="1" t="s">
        <v>55</v>
      </c>
      <c r="B38" s="1">
        <v>11.2833333333333</v>
      </c>
    </row>
    <row r="39">
      <c r="A39" s="1" t="s">
        <v>78</v>
      </c>
      <c r="B39" s="1">
        <v>15.15</v>
      </c>
    </row>
    <row r="40">
      <c r="A40" s="1" t="s">
        <v>83</v>
      </c>
      <c r="B40" s="1">
        <v>11.3166666666666</v>
      </c>
    </row>
    <row r="41">
      <c r="A41" s="1" t="s">
        <v>34</v>
      </c>
      <c r="B41" s="1">
        <v>25.5666666666666</v>
      </c>
    </row>
    <row r="42">
      <c r="A42" s="1" t="s">
        <v>134</v>
      </c>
      <c r="B42" s="1">
        <v>5.65</v>
      </c>
    </row>
    <row r="43">
      <c r="A43" s="1" t="s">
        <v>81</v>
      </c>
      <c r="B43" s="1">
        <v>35.2666666666666</v>
      </c>
    </row>
    <row r="44">
      <c r="A44" s="1" t="s">
        <v>80</v>
      </c>
      <c r="B44" s="1">
        <v>36.4166666666666</v>
      </c>
    </row>
    <row r="45">
      <c r="A45" s="1" t="s">
        <v>113</v>
      </c>
      <c r="B45" s="1">
        <v>7.05</v>
      </c>
    </row>
    <row r="46">
      <c r="A46" s="1" t="s">
        <v>126</v>
      </c>
      <c r="B46" s="1">
        <v>26.7166666666666</v>
      </c>
    </row>
    <row r="47">
      <c r="A47" s="1" t="s">
        <v>102</v>
      </c>
      <c r="B47" s="1">
        <v>30.8</v>
      </c>
    </row>
    <row r="48">
      <c r="A48" s="1" t="s">
        <v>117</v>
      </c>
      <c r="B48" s="1">
        <v>16.4</v>
      </c>
    </row>
    <row r="49">
      <c r="A49" s="1" t="s">
        <v>64</v>
      </c>
      <c r="B49" s="1">
        <v>6.88333333333333</v>
      </c>
    </row>
    <row r="50">
      <c r="A50" s="1" t="s">
        <v>36</v>
      </c>
      <c r="B50" s="1">
        <v>35.2666666666666</v>
      </c>
    </row>
    <row r="51">
      <c r="A51" s="1" t="s">
        <v>49</v>
      </c>
      <c r="B51" s="1">
        <v>16.25</v>
      </c>
    </row>
    <row r="52">
      <c r="A52" s="1" t="s">
        <v>132</v>
      </c>
      <c r="B52" s="1">
        <v>8.16666666666666</v>
      </c>
    </row>
    <row r="53">
      <c r="A53" s="1" t="s">
        <v>45</v>
      </c>
      <c r="B53" s="1">
        <v>7.7</v>
      </c>
    </row>
    <row r="54">
      <c r="A54" s="1" t="s">
        <v>128</v>
      </c>
      <c r="B54" s="1">
        <v>14.1</v>
      </c>
    </row>
    <row r="55">
      <c r="A55" s="1" t="s">
        <v>57</v>
      </c>
      <c r="B55" s="1">
        <v>11.1166666666666</v>
      </c>
    </row>
    <row r="56">
      <c r="A56" s="1" t="s">
        <v>127</v>
      </c>
      <c r="B56" s="1">
        <v>9.13333333333333</v>
      </c>
    </row>
    <row r="57">
      <c r="A57" s="1" t="s">
        <v>58</v>
      </c>
      <c r="B57" s="1">
        <v>38.7333333333333</v>
      </c>
    </row>
    <row r="58">
      <c r="A58" s="1" t="s">
        <v>85</v>
      </c>
      <c r="B58" s="1">
        <v>40.7166666666666</v>
      </c>
    </row>
    <row r="59">
      <c r="A59" s="1" t="s">
        <v>54</v>
      </c>
      <c r="B59" s="1">
        <v>26.8166666666666</v>
      </c>
    </row>
    <row r="60">
      <c r="A60" s="1" t="s">
        <v>121</v>
      </c>
      <c r="B60" s="1">
        <v>6.53333333333333</v>
      </c>
    </row>
    <row r="61">
      <c r="A61" s="1" t="s">
        <v>70</v>
      </c>
      <c r="B61" s="1">
        <v>7.15</v>
      </c>
    </row>
    <row r="62">
      <c r="A62" s="1" t="s">
        <v>37</v>
      </c>
      <c r="B62" s="1">
        <v>38.45</v>
      </c>
    </row>
    <row r="63">
      <c r="A63" s="1" t="s">
        <v>35</v>
      </c>
      <c r="B63" s="1">
        <v>7.95</v>
      </c>
    </row>
    <row r="64">
      <c r="A64" s="1" t="s">
        <v>44</v>
      </c>
      <c r="B64" s="1">
        <v>33.0333333333333</v>
      </c>
    </row>
    <row r="65">
      <c r="A65" s="1" t="s">
        <v>91</v>
      </c>
      <c r="B65" s="1">
        <v>44.4833333333333</v>
      </c>
    </row>
    <row r="66">
      <c r="A66" s="1" t="s">
        <v>50</v>
      </c>
      <c r="B66" s="1">
        <v>7.0</v>
      </c>
    </row>
    <row r="67">
      <c r="A67" s="1" t="s">
        <v>84</v>
      </c>
      <c r="B67" s="1">
        <v>14.4666666666666</v>
      </c>
    </row>
    <row r="68">
      <c r="A68" s="1" t="s">
        <v>136</v>
      </c>
      <c r="B68" s="1">
        <v>6.45</v>
      </c>
    </row>
    <row r="69">
      <c r="A69" s="1" t="s">
        <v>130</v>
      </c>
      <c r="B69" s="1">
        <v>23.2666666666666</v>
      </c>
    </row>
    <row r="70">
      <c r="A70" s="1" t="s">
        <v>112</v>
      </c>
      <c r="B70" s="1">
        <v>36.9166666666666</v>
      </c>
    </row>
    <row r="71">
      <c r="A71" s="1" t="s">
        <v>97</v>
      </c>
      <c r="B71" s="1">
        <v>3.66666666666666</v>
      </c>
    </row>
    <row r="72">
      <c r="A72" s="1" t="s">
        <v>53</v>
      </c>
      <c r="B72" s="1">
        <v>6.55</v>
      </c>
    </row>
    <row r="73">
      <c r="A73" s="1" t="s">
        <v>82</v>
      </c>
      <c r="B73" s="1">
        <v>39.1166666666666</v>
      </c>
    </row>
    <row r="74">
      <c r="A74" s="1" t="s">
        <v>131</v>
      </c>
      <c r="B74" s="1">
        <v>11.4166666666666</v>
      </c>
    </row>
    <row r="75">
      <c r="A75" s="1" t="s">
        <v>119</v>
      </c>
      <c r="B75" s="1">
        <v>7.01666666666666</v>
      </c>
    </row>
    <row r="76">
      <c r="A76" s="1" t="s">
        <v>33</v>
      </c>
      <c r="B76" s="1">
        <v>0.233333333333333</v>
      </c>
    </row>
    <row r="77">
      <c r="A77" s="1" t="s">
        <v>124</v>
      </c>
      <c r="B77" s="1">
        <v>31.0333333333333</v>
      </c>
    </row>
    <row r="78">
      <c r="A78" s="1" t="s">
        <v>38</v>
      </c>
      <c r="B78" s="1">
        <v>54.3666666666666</v>
      </c>
    </row>
    <row r="79">
      <c r="A79" s="1" t="s">
        <v>65</v>
      </c>
      <c r="B79" s="1">
        <v>44.35</v>
      </c>
    </row>
    <row r="80">
      <c r="A80" s="1" t="s">
        <v>43</v>
      </c>
      <c r="B80" s="1">
        <v>32.1</v>
      </c>
    </row>
    <row r="81">
      <c r="A81" s="1" t="s">
        <v>93</v>
      </c>
      <c r="B81" s="1">
        <v>39.2166666666666</v>
      </c>
    </row>
    <row r="82">
      <c r="A82" s="1" t="s">
        <v>103</v>
      </c>
      <c r="B82" s="1">
        <v>11.6666666666666</v>
      </c>
    </row>
    <row r="83">
      <c r="A83" s="1" t="s">
        <v>31</v>
      </c>
      <c r="B83" s="1">
        <v>44.7166666666666</v>
      </c>
    </row>
    <row r="84">
      <c r="A84" s="1" t="s">
        <v>73</v>
      </c>
      <c r="B84" s="1">
        <v>6.91666666666666</v>
      </c>
    </row>
    <row r="85">
      <c r="A85" s="1" t="s">
        <v>42</v>
      </c>
      <c r="B85" s="1">
        <v>37.7166666666666</v>
      </c>
    </row>
    <row r="86">
      <c r="A86" s="1" t="s">
        <v>99</v>
      </c>
      <c r="B86" s="1">
        <v>26.25</v>
      </c>
    </row>
    <row r="87">
      <c r="A87" s="1" t="s">
        <v>109</v>
      </c>
      <c r="B87" s="1">
        <v>9.01666666666666</v>
      </c>
    </row>
    <row r="88">
      <c r="A88" s="1" t="s">
        <v>30</v>
      </c>
      <c r="B88" s="1">
        <v>15.1333333333333</v>
      </c>
    </row>
    <row r="89">
      <c r="A89" s="1" t="s">
        <v>66</v>
      </c>
      <c r="B89" s="1">
        <v>46.1</v>
      </c>
    </row>
    <row r="90">
      <c r="A90" s="1" t="s">
        <v>68</v>
      </c>
      <c r="B90" s="1">
        <v>35.95</v>
      </c>
    </row>
    <row r="91">
      <c r="A91" s="1" t="s">
        <v>74</v>
      </c>
      <c r="B91" s="1">
        <v>16.1166666666666</v>
      </c>
    </row>
    <row r="92">
      <c r="A92" s="1" t="s">
        <v>123</v>
      </c>
      <c r="B92" s="1">
        <v>6.86666666666666</v>
      </c>
    </row>
    <row r="93">
      <c r="A93" s="1" t="s">
        <v>90</v>
      </c>
      <c r="B93" s="1">
        <v>9.75</v>
      </c>
    </row>
    <row r="94">
      <c r="A94" s="1" t="s">
        <v>40</v>
      </c>
      <c r="B94" s="1">
        <v>43.5</v>
      </c>
    </row>
    <row r="95">
      <c r="A95" s="1" t="s">
        <v>52</v>
      </c>
      <c r="B95" s="1">
        <v>32.5</v>
      </c>
    </row>
    <row r="96">
      <c r="A96" s="1" t="s">
        <v>107</v>
      </c>
      <c r="B96" s="1">
        <v>11.1</v>
      </c>
    </row>
    <row r="97">
      <c r="A97" s="1" t="s">
        <v>105</v>
      </c>
      <c r="B97" s="1">
        <v>7.56666666666666</v>
      </c>
    </row>
    <row r="98">
      <c r="A98" s="1" t="s">
        <v>47</v>
      </c>
      <c r="B98" s="1">
        <v>18.6166666666666</v>
      </c>
    </row>
    <row r="99">
      <c r="A99" s="1" t="s">
        <v>98</v>
      </c>
      <c r="B99" s="1">
        <v>42.7</v>
      </c>
    </row>
    <row r="100">
      <c r="A100" s="1" t="s">
        <v>92</v>
      </c>
      <c r="B100" s="1">
        <v>12.1166666666666</v>
      </c>
    </row>
    <row r="101">
      <c r="A101" s="1" t="s">
        <v>62</v>
      </c>
      <c r="B101" s="1">
        <v>43.9666666666666</v>
      </c>
    </row>
    <row r="102">
      <c r="A102" s="1" t="s">
        <v>61</v>
      </c>
      <c r="B102" s="1">
        <v>6.75</v>
      </c>
    </row>
    <row r="103">
      <c r="A103" s="1" t="s">
        <v>101</v>
      </c>
      <c r="B103" s="1">
        <v>34.5</v>
      </c>
    </row>
    <row r="104">
      <c r="A104" s="1" t="s">
        <v>106</v>
      </c>
      <c r="B104" s="1">
        <v>6.81666666666666</v>
      </c>
    </row>
    <row r="105">
      <c r="A105" s="1" t="s">
        <v>89</v>
      </c>
      <c r="B105" s="1">
        <v>14.2666666666666</v>
      </c>
    </row>
    <row r="106">
      <c r="A106" s="1" t="s">
        <v>75</v>
      </c>
      <c r="B106" s="1">
        <v>6.25</v>
      </c>
    </row>
    <row r="107">
      <c r="A107" s="1" t="s">
        <v>114</v>
      </c>
      <c r="B107" s="1">
        <v>6.78333333333333</v>
      </c>
    </row>
    <row r="108">
      <c r="A108" s="1" t="s">
        <v>59</v>
      </c>
      <c r="B108" s="1">
        <v>21.2166666666666</v>
      </c>
    </row>
    <row r="109">
      <c r="A109" s="1" t="s">
        <v>125</v>
      </c>
      <c r="B109" s="1">
        <v>12.3</v>
      </c>
    </row>
    <row r="110">
      <c r="A110" s="1" t="s">
        <v>51</v>
      </c>
      <c r="B110" s="1">
        <v>28.2</v>
      </c>
    </row>
    <row r="111">
      <c r="A111" s="1" t="s">
        <v>72</v>
      </c>
      <c r="B111" s="1">
        <v>40.6666666666666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977</v>
      </c>
    </row>
    <row r="2">
      <c r="A2" s="1" t="s">
        <v>79</v>
      </c>
      <c r="B2" s="1">
        <v>0.0</v>
      </c>
    </row>
    <row r="3">
      <c r="A3" s="1" t="s">
        <v>60</v>
      </c>
      <c r="B3" s="1">
        <v>4.56666666666666</v>
      </c>
    </row>
    <row r="4">
      <c r="A4" s="1" t="s">
        <v>48</v>
      </c>
      <c r="B4" s="1">
        <v>1.15</v>
      </c>
    </row>
    <row r="5">
      <c r="A5" s="1" t="s">
        <v>69</v>
      </c>
      <c r="B5" s="1">
        <v>3.13333333333333</v>
      </c>
    </row>
    <row r="6">
      <c r="A6" s="1" t="s">
        <v>32</v>
      </c>
      <c r="B6" s="1">
        <v>0.0</v>
      </c>
    </row>
    <row r="7">
      <c r="A7" s="1" t="s">
        <v>71</v>
      </c>
      <c r="B7" s="1">
        <v>0.383333333333333</v>
      </c>
    </row>
    <row r="8">
      <c r="A8" s="1" t="s">
        <v>46</v>
      </c>
      <c r="B8" s="1">
        <v>0.3</v>
      </c>
    </row>
    <row r="9">
      <c r="A9" s="1" t="s">
        <v>111</v>
      </c>
      <c r="B9" s="1">
        <v>5.01666666666666</v>
      </c>
    </row>
    <row r="10">
      <c r="A10" s="1" t="s">
        <v>205</v>
      </c>
      <c r="B10" s="1">
        <v>18.6166666666666</v>
      </c>
    </row>
    <row r="11">
      <c r="A11" s="1" t="s">
        <v>135</v>
      </c>
      <c r="B11" s="1">
        <v>6.0</v>
      </c>
    </row>
    <row r="12">
      <c r="A12" s="1" t="s">
        <v>95</v>
      </c>
      <c r="B12" s="1">
        <v>0.566666666666666</v>
      </c>
    </row>
    <row r="13">
      <c r="A13" s="1" t="s">
        <v>63</v>
      </c>
      <c r="B13" s="1">
        <v>0.0</v>
      </c>
    </row>
    <row r="14">
      <c r="A14" s="1" t="s">
        <v>86</v>
      </c>
      <c r="B14" s="1">
        <v>8.26666666666666</v>
      </c>
    </row>
    <row r="15">
      <c r="A15" s="1" t="s">
        <v>116</v>
      </c>
      <c r="B15" s="1">
        <v>0.383333333333333</v>
      </c>
    </row>
    <row r="16">
      <c r="A16" s="1" t="s">
        <v>96</v>
      </c>
      <c r="B16" s="1">
        <v>7.31666666666666</v>
      </c>
    </row>
    <row r="17">
      <c r="A17" s="1" t="s">
        <v>110</v>
      </c>
      <c r="B17" s="1">
        <v>5.16666666666666</v>
      </c>
    </row>
    <row r="18">
      <c r="A18" s="1" t="s">
        <v>120</v>
      </c>
      <c r="B18" s="1">
        <v>3.85</v>
      </c>
    </row>
    <row r="19">
      <c r="A19" s="1" t="s">
        <v>77</v>
      </c>
      <c r="B19" s="1">
        <v>4.35</v>
      </c>
    </row>
    <row r="20">
      <c r="A20" s="1" t="s">
        <v>94</v>
      </c>
      <c r="B20" s="1">
        <v>5.2</v>
      </c>
    </row>
    <row r="21">
      <c r="A21" s="1" t="s">
        <v>87</v>
      </c>
      <c r="B21" s="1">
        <v>0.0</v>
      </c>
    </row>
    <row r="22">
      <c r="A22" s="1" t="s">
        <v>29</v>
      </c>
      <c r="B22" s="1">
        <v>0.716666666666666</v>
      </c>
    </row>
    <row r="23">
      <c r="A23" s="1" t="s">
        <v>129</v>
      </c>
      <c r="B23" s="1">
        <v>12.6333333333333</v>
      </c>
    </row>
    <row r="24">
      <c r="A24" s="1" t="s">
        <v>100</v>
      </c>
      <c r="B24" s="1">
        <v>60.0</v>
      </c>
    </row>
    <row r="25">
      <c r="A25" s="1" t="s">
        <v>122</v>
      </c>
      <c r="B25" s="1">
        <v>2.51666666666666</v>
      </c>
    </row>
    <row r="26">
      <c r="A26" s="1" t="s">
        <v>137</v>
      </c>
      <c r="B26" s="1">
        <v>60.0</v>
      </c>
    </row>
    <row r="27">
      <c r="A27" s="1" t="s">
        <v>118</v>
      </c>
      <c r="B27" s="1">
        <v>4.05</v>
      </c>
    </row>
    <row r="28">
      <c r="A28" s="1" t="s">
        <v>115</v>
      </c>
      <c r="B28" s="1">
        <v>3.1</v>
      </c>
    </row>
    <row r="29">
      <c r="A29" s="1" t="s">
        <v>76</v>
      </c>
      <c r="B29" s="1">
        <v>7.1</v>
      </c>
    </row>
    <row r="30">
      <c r="A30" s="1" t="s">
        <v>88</v>
      </c>
      <c r="B30" s="1">
        <v>0.5</v>
      </c>
    </row>
    <row r="31">
      <c r="A31" s="1" t="s">
        <v>41</v>
      </c>
      <c r="B31" s="1">
        <v>10.2833333333333</v>
      </c>
    </row>
    <row r="32">
      <c r="A32" s="1" t="s">
        <v>104</v>
      </c>
      <c r="B32" s="1">
        <v>31.3666666666666</v>
      </c>
    </row>
    <row r="33">
      <c r="A33" s="1" t="s">
        <v>133</v>
      </c>
      <c r="B33" s="1">
        <v>7.23333333333333</v>
      </c>
    </row>
    <row r="34">
      <c r="A34" s="1" t="s">
        <v>67</v>
      </c>
      <c r="B34" s="1">
        <v>0.733333333333333</v>
      </c>
    </row>
    <row r="35">
      <c r="A35" s="1" t="s">
        <v>108</v>
      </c>
      <c r="B35" s="1">
        <v>60.0</v>
      </c>
    </row>
    <row r="36">
      <c r="A36" s="1" t="s">
        <v>39</v>
      </c>
      <c r="B36" s="1">
        <v>6.03333333333333</v>
      </c>
    </row>
    <row r="37">
      <c r="A37" s="1" t="s">
        <v>56</v>
      </c>
      <c r="B37" s="1">
        <v>11.1666666666666</v>
      </c>
    </row>
    <row r="38">
      <c r="A38" s="1" t="s">
        <v>55</v>
      </c>
      <c r="B38" s="1">
        <v>5.25</v>
      </c>
    </row>
    <row r="39">
      <c r="A39" s="1" t="s">
        <v>78</v>
      </c>
      <c r="B39" s="1">
        <v>0.0</v>
      </c>
    </row>
    <row r="40">
      <c r="A40" s="1" t="s">
        <v>83</v>
      </c>
      <c r="B40" s="1">
        <v>0.0</v>
      </c>
    </row>
    <row r="41">
      <c r="A41" s="1" t="s">
        <v>34</v>
      </c>
      <c r="B41" s="1">
        <v>1.48333333333333</v>
      </c>
    </row>
    <row r="42">
      <c r="A42" s="1" t="s">
        <v>134</v>
      </c>
      <c r="B42" s="1">
        <v>2.76666666666666</v>
      </c>
    </row>
    <row r="43">
      <c r="A43" s="1" t="s">
        <v>81</v>
      </c>
      <c r="B43" s="1">
        <v>0.566666666666666</v>
      </c>
    </row>
    <row r="44">
      <c r="A44" s="1" t="s">
        <v>80</v>
      </c>
      <c r="B44" s="1">
        <v>9.76666666666666</v>
      </c>
    </row>
    <row r="45">
      <c r="A45" s="1" t="s">
        <v>113</v>
      </c>
      <c r="B45" s="1">
        <v>7.38333333333333</v>
      </c>
    </row>
    <row r="46">
      <c r="A46" s="1" t="s">
        <v>126</v>
      </c>
      <c r="B46" s="1">
        <v>4.13333333333333</v>
      </c>
    </row>
    <row r="47">
      <c r="A47" s="1" t="s">
        <v>102</v>
      </c>
      <c r="B47" s="1">
        <v>0.0</v>
      </c>
    </row>
    <row r="48">
      <c r="A48" s="1" t="s">
        <v>117</v>
      </c>
      <c r="B48" s="1">
        <v>60.0</v>
      </c>
    </row>
    <row r="49">
      <c r="A49" s="1" t="s">
        <v>64</v>
      </c>
      <c r="B49" s="1">
        <v>1.76666666666666</v>
      </c>
    </row>
    <row r="50">
      <c r="A50" s="1" t="s">
        <v>36</v>
      </c>
      <c r="B50" s="1">
        <v>2.13333333333333</v>
      </c>
    </row>
    <row r="51">
      <c r="A51" s="1" t="s">
        <v>49</v>
      </c>
      <c r="B51" s="1">
        <v>60.0</v>
      </c>
    </row>
    <row r="52">
      <c r="A52" s="1" t="s">
        <v>132</v>
      </c>
      <c r="B52" s="1">
        <v>17.8166666666666</v>
      </c>
    </row>
    <row r="53">
      <c r="A53" s="1" t="s">
        <v>45</v>
      </c>
      <c r="B53" s="1">
        <v>0.233333333333333</v>
      </c>
    </row>
    <row r="54">
      <c r="A54" s="1" t="s">
        <v>128</v>
      </c>
      <c r="B54" s="1">
        <v>2.08333333333333</v>
      </c>
    </row>
    <row r="55">
      <c r="A55" s="1" t="s">
        <v>57</v>
      </c>
      <c r="B55" s="1">
        <v>60.0</v>
      </c>
    </row>
    <row r="56">
      <c r="A56" s="1" t="s">
        <v>127</v>
      </c>
      <c r="B56" s="1">
        <v>60.0</v>
      </c>
    </row>
    <row r="57">
      <c r="A57" s="1" t="s">
        <v>58</v>
      </c>
      <c r="B57" s="1">
        <v>2.53333333333333</v>
      </c>
    </row>
    <row r="58">
      <c r="A58" s="1" t="s">
        <v>85</v>
      </c>
      <c r="B58" s="1">
        <v>1.96666666666666</v>
      </c>
    </row>
    <row r="59">
      <c r="A59" s="1" t="s">
        <v>54</v>
      </c>
      <c r="B59" s="1">
        <v>0.283333333333333</v>
      </c>
    </row>
    <row r="60">
      <c r="A60" s="1" t="s">
        <v>121</v>
      </c>
      <c r="B60" s="1">
        <v>60.0</v>
      </c>
    </row>
    <row r="61">
      <c r="A61" s="1" t="s">
        <v>70</v>
      </c>
      <c r="B61" s="1">
        <v>7.53333333333333</v>
      </c>
    </row>
    <row r="62">
      <c r="A62" s="1" t="s">
        <v>37</v>
      </c>
      <c r="B62" s="1">
        <v>60.0</v>
      </c>
    </row>
    <row r="63">
      <c r="A63" s="1" t="s">
        <v>35</v>
      </c>
      <c r="B63" s="1">
        <v>23.6333333333333</v>
      </c>
    </row>
    <row r="64">
      <c r="A64" s="1" t="s">
        <v>44</v>
      </c>
      <c r="B64" s="1">
        <v>10.8</v>
      </c>
    </row>
    <row r="65">
      <c r="A65" s="1" t="s">
        <v>91</v>
      </c>
      <c r="B65" s="1">
        <v>0.216666666666666</v>
      </c>
    </row>
    <row r="66">
      <c r="A66" s="1" t="s">
        <v>50</v>
      </c>
      <c r="B66" s="1">
        <v>16.2166666666666</v>
      </c>
    </row>
    <row r="67">
      <c r="A67" s="1" t="s">
        <v>84</v>
      </c>
      <c r="B67" s="1">
        <v>0.0</v>
      </c>
    </row>
    <row r="68">
      <c r="A68" s="1" t="s">
        <v>136</v>
      </c>
      <c r="B68" s="1">
        <v>2.28333333333333</v>
      </c>
    </row>
    <row r="69">
      <c r="A69" s="1" t="s">
        <v>130</v>
      </c>
      <c r="B69" s="1">
        <v>60.0</v>
      </c>
    </row>
    <row r="70">
      <c r="A70" s="1" t="s">
        <v>112</v>
      </c>
      <c r="B70" s="1">
        <v>3.91666666666666</v>
      </c>
    </row>
    <row r="71">
      <c r="A71" s="1" t="s">
        <v>97</v>
      </c>
      <c r="B71" s="1">
        <v>8.53333333333333</v>
      </c>
    </row>
    <row r="72">
      <c r="A72" s="1" t="s">
        <v>53</v>
      </c>
      <c r="B72" s="1">
        <v>0.0</v>
      </c>
    </row>
    <row r="73">
      <c r="A73" s="1" t="s">
        <v>82</v>
      </c>
      <c r="B73" s="1">
        <v>60.0</v>
      </c>
    </row>
    <row r="74">
      <c r="A74" s="1" t="s">
        <v>131</v>
      </c>
      <c r="B74" s="1">
        <v>3.68333333333333</v>
      </c>
    </row>
    <row r="75">
      <c r="A75" s="1" t="s">
        <v>119</v>
      </c>
      <c r="B75" s="1">
        <v>0.0</v>
      </c>
    </row>
    <row r="76">
      <c r="A76" s="1" t="s">
        <v>33</v>
      </c>
      <c r="B76" s="1">
        <v>0.0</v>
      </c>
    </row>
    <row r="77">
      <c r="A77" s="1" t="s">
        <v>124</v>
      </c>
      <c r="B77" s="1">
        <v>60.0</v>
      </c>
    </row>
    <row r="78">
      <c r="A78" s="1" t="s">
        <v>38</v>
      </c>
      <c r="B78" s="1">
        <v>1.23333333333333</v>
      </c>
    </row>
    <row r="79">
      <c r="A79" s="1" t="s">
        <v>65</v>
      </c>
      <c r="B79" s="1">
        <v>60.0</v>
      </c>
    </row>
    <row r="80">
      <c r="A80" s="1" t="s">
        <v>43</v>
      </c>
      <c r="B80" s="1">
        <v>3.03333333333333</v>
      </c>
    </row>
    <row r="81">
      <c r="A81" s="1" t="s">
        <v>93</v>
      </c>
      <c r="B81" s="1">
        <v>5.93333333333333</v>
      </c>
    </row>
    <row r="82">
      <c r="A82" s="1" t="s">
        <v>103</v>
      </c>
      <c r="B82" s="1">
        <v>1.36666666666666</v>
      </c>
    </row>
    <row r="83">
      <c r="A83" s="1" t="s">
        <v>31</v>
      </c>
      <c r="B83" s="1">
        <v>12.65</v>
      </c>
    </row>
    <row r="84">
      <c r="A84" s="1" t="s">
        <v>73</v>
      </c>
      <c r="B84" s="1">
        <v>1.48333333333333</v>
      </c>
    </row>
    <row r="85">
      <c r="A85" s="1" t="s">
        <v>42</v>
      </c>
      <c r="B85" s="1">
        <v>10.9333333333333</v>
      </c>
    </row>
    <row r="86">
      <c r="A86" s="1" t="s">
        <v>99</v>
      </c>
      <c r="B86" s="1">
        <v>0.3</v>
      </c>
    </row>
    <row r="87">
      <c r="A87" s="1" t="s">
        <v>109</v>
      </c>
      <c r="B87" s="1">
        <v>7.35</v>
      </c>
    </row>
    <row r="88">
      <c r="A88" s="1" t="s">
        <v>30</v>
      </c>
      <c r="B88" s="1">
        <v>13.05</v>
      </c>
    </row>
    <row r="89">
      <c r="A89" s="1" t="s">
        <v>66</v>
      </c>
      <c r="B89" s="1">
        <v>1.53333333333333</v>
      </c>
    </row>
    <row r="90">
      <c r="A90" s="1" t="s">
        <v>68</v>
      </c>
      <c r="B90" s="1">
        <v>1.0</v>
      </c>
    </row>
    <row r="91">
      <c r="A91" s="1" t="s">
        <v>74</v>
      </c>
      <c r="B91" s="1">
        <v>0.466666666666666</v>
      </c>
    </row>
    <row r="92">
      <c r="A92" s="1" t="s">
        <v>123</v>
      </c>
      <c r="B92" s="1">
        <v>11.0</v>
      </c>
    </row>
    <row r="93">
      <c r="A93" s="1" t="s">
        <v>90</v>
      </c>
      <c r="B93" s="1">
        <v>14.5833333333333</v>
      </c>
    </row>
    <row r="94">
      <c r="A94" s="1" t="s">
        <v>40</v>
      </c>
      <c r="B94" s="1">
        <v>0.866666666666666</v>
      </c>
    </row>
    <row r="95">
      <c r="A95" s="1" t="s">
        <v>52</v>
      </c>
      <c r="B95" s="1">
        <v>5.35</v>
      </c>
    </row>
    <row r="96">
      <c r="A96" s="1" t="s">
        <v>107</v>
      </c>
      <c r="B96" s="1">
        <v>60.0</v>
      </c>
    </row>
    <row r="97">
      <c r="A97" s="1" t="s">
        <v>105</v>
      </c>
      <c r="B97" s="1">
        <v>27.8833333333333</v>
      </c>
    </row>
    <row r="98">
      <c r="A98" s="1" t="s">
        <v>47</v>
      </c>
      <c r="B98" s="1">
        <v>6.73333333333333</v>
      </c>
    </row>
    <row r="99">
      <c r="A99" s="1" t="s">
        <v>98</v>
      </c>
      <c r="B99" s="1">
        <v>1.91666666666666</v>
      </c>
    </row>
    <row r="100">
      <c r="A100" s="1" t="s">
        <v>92</v>
      </c>
      <c r="B100" s="1">
        <v>0.0</v>
      </c>
    </row>
    <row r="101">
      <c r="A101" s="1" t="s">
        <v>62</v>
      </c>
      <c r="B101" s="1">
        <v>60.0</v>
      </c>
    </row>
    <row r="102">
      <c r="A102" s="1" t="s">
        <v>61</v>
      </c>
      <c r="B102" s="1">
        <v>0.0</v>
      </c>
    </row>
    <row r="103">
      <c r="A103" s="1" t="s">
        <v>101</v>
      </c>
      <c r="B103" s="1">
        <v>9.96666666666666</v>
      </c>
    </row>
    <row r="104">
      <c r="A104" s="1" t="s">
        <v>106</v>
      </c>
      <c r="B104" s="1">
        <v>1.23333333333333</v>
      </c>
    </row>
    <row r="105">
      <c r="A105" s="1" t="s">
        <v>89</v>
      </c>
      <c r="B105" s="1">
        <v>60.0</v>
      </c>
    </row>
    <row r="106">
      <c r="A106" s="1" t="s">
        <v>75</v>
      </c>
      <c r="B106" s="1">
        <v>1.35</v>
      </c>
    </row>
    <row r="107">
      <c r="A107" s="1" t="s">
        <v>114</v>
      </c>
      <c r="B107" s="1">
        <v>21.0333333333333</v>
      </c>
    </row>
    <row r="108">
      <c r="A108" s="1" t="s">
        <v>59</v>
      </c>
      <c r="B108" s="1">
        <v>20.4666666666666</v>
      </c>
    </row>
    <row r="109">
      <c r="A109" s="1" t="s">
        <v>125</v>
      </c>
      <c r="B109" s="1">
        <v>1.4</v>
      </c>
    </row>
    <row r="110">
      <c r="A110" s="1" t="s">
        <v>51</v>
      </c>
      <c r="B110" s="1">
        <v>60.0</v>
      </c>
    </row>
    <row r="111">
      <c r="A111" s="1" t="s">
        <v>72</v>
      </c>
      <c r="B111" s="1">
        <v>60.0</v>
      </c>
    </row>
  </sheetData>
  <drawing r:id="rId1"/>
</worksheet>
</file>